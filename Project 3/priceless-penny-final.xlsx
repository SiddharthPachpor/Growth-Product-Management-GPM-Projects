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iddharthpachpor/Library/Mobile Documents/com~apple~CloudDocs/Learnings/Uda_GrowthProduct_Manager/chapter 5/"/>
    </mc:Choice>
  </mc:AlternateContent>
  <xr:revisionPtr revIDLastSave="0" documentId="8_{1D04351B-1AC4-D848-98E9-077787D8629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iceless Penny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1" i="1" l="1"/>
  <c r="C210" i="1"/>
  <c r="C209" i="1"/>
  <c r="C208" i="1"/>
  <c r="E206" i="1"/>
  <c r="D206" i="1"/>
  <c r="C206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B191" i="1"/>
  <c r="C195" i="1" s="1"/>
  <c r="O190" i="1"/>
  <c r="N190" i="1"/>
  <c r="M190" i="1"/>
  <c r="L190" i="1"/>
  <c r="K190" i="1"/>
  <c r="J190" i="1"/>
  <c r="I190" i="1"/>
  <c r="H190" i="1"/>
  <c r="G190" i="1"/>
  <c r="F190" i="1"/>
  <c r="E190" i="1"/>
  <c r="D190" i="1"/>
  <c r="B190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B189" i="1"/>
  <c r="C164" i="1"/>
  <c r="C161" i="1" s="1"/>
  <c r="C163" i="1"/>
  <c r="C162" i="1"/>
  <c r="C123" i="1"/>
  <c r="C15" i="1" s="1"/>
  <c r="C16" i="1" s="1"/>
  <c r="C17" i="1" s="1"/>
  <c r="C18" i="1" s="1"/>
  <c r="C20" i="1" s="1"/>
  <c r="C21" i="1" s="1"/>
  <c r="C22" i="1" s="1"/>
  <c r="C25" i="1" s="1"/>
  <c r="D109" i="1"/>
  <c r="D106" i="1" s="1"/>
  <c r="D100" i="1"/>
  <c r="D96" i="1"/>
  <c r="D92" i="1"/>
  <c r="C85" i="1"/>
  <c r="C101" i="1" s="1"/>
  <c r="C102" i="1" s="1"/>
  <c r="D81" i="1"/>
  <c r="C76" i="1"/>
  <c r="C97" i="1" s="1"/>
  <c r="C98" i="1" s="1"/>
  <c r="C71" i="1"/>
  <c r="C93" i="1" s="1"/>
  <c r="C94" i="1" s="1"/>
  <c r="C141" i="1" s="1"/>
  <c r="C65" i="1"/>
  <c r="C66" i="1" s="1"/>
  <c r="C67" i="1" s="1"/>
  <c r="C69" i="1" s="1"/>
  <c r="D168" i="1" s="1"/>
  <c r="F40" i="1"/>
  <c r="E40" i="1"/>
  <c r="D40" i="1"/>
  <c r="C40" i="1"/>
  <c r="F30" i="1"/>
  <c r="G30" i="1" s="1"/>
  <c r="C72" i="1" l="1"/>
  <c r="C73" i="1" s="1"/>
  <c r="C77" i="1"/>
  <c r="C78" i="1" s="1"/>
  <c r="D172" i="1" s="1"/>
  <c r="F206" i="1"/>
  <c r="C82" i="1"/>
  <c r="C83" i="1" s="1"/>
  <c r="C147" i="1"/>
  <c r="C142" i="1"/>
  <c r="D181" i="1" s="1"/>
  <c r="C39" i="1"/>
  <c r="C41" i="1"/>
  <c r="C42" i="1" s="1"/>
  <c r="C23" i="1"/>
  <c r="F39" i="1"/>
  <c r="F41" i="1"/>
  <c r="F42" i="1" s="1"/>
  <c r="C148" i="1"/>
  <c r="C143" i="1"/>
  <c r="D182" i="1" s="1"/>
  <c r="D39" i="1"/>
  <c r="D41" i="1"/>
  <c r="D42" i="1" s="1"/>
  <c r="C68" i="1"/>
  <c r="C131" i="1" s="1"/>
  <c r="D167" i="1" s="1"/>
  <c r="C70" i="1"/>
  <c r="D175" i="1"/>
  <c r="G206" i="1"/>
  <c r="G40" i="1"/>
  <c r="H30" i="1"/>
  <c r="E39" i="1"/>
  <c r="E41" i="1"/>
  <c r="E42" i="1" s="1"/>
  <c r="C24" i="1"/>
  <c r="C193" i="1"/>
  <c r="C194" i="1"/>
  <c r="D180" i="1"/>
  <c r="C86" i="1"/>
  <c r="C87" i="1" s="1"/>
  <c r="C74" i="1" l="1"/>
  <c r="C75" i="1"/>
  <c r="D171" i="1" s="1"/>
  <c r="C207" i="1"/>
  <c r="C212" i="1" s="1"/>
  <c r="C146" i="1"/>
  <c r="C197" i="1"/>
  <c r="C198" i="1" s="1"/>
  <c r="C88" i="1"/>
  <c r="C89" i="1"/>
  <c r="D121" i="1"/>
  <c r="D179" i="1"/>
  <c r="C140" i="1"/>
  <c r="G41" i="1"/>
  <c r="G42" i="1" s="1"/>
  <c r="G39" i="1"/>
  <c r="E44" i="1"/>
  <c r="E43" i="1"/>
  <c r="F105" i="1" s="1"/>
  <c r="E45" i="1"/>
  <c r="C27" i="1"/>
  <c r="D169" i="1"/>
  <c r="C133" i="1"/>
  <c r="D43" i="1"/>
  <c r="E105" i="1" s="1"/>
  <c r="D44" i="1"/>
  <c r="D45" i="1"/>
  <c r="D46" i="1" s="1"/>
  <c r="F44" i="1"/>
  <c r="F43" i="1"/>
  <c r="G105" i="1" s="1"/>
  <c r="F45" i="1"/>
  <c r="C43" i="1"/>
  <c r="D105" i="1" s="1"/>
  <c r="D107" i="1" s="1"/>
  <c r="C44" i="1"/>
  <c r="D114" i="1" s="1"/>
  <c r="D152" i="1" s="1"/>
  <c r="C45" i="1"/>
  <c r="D115" i="1" s="1"/>
  <c r="D153" i="1" s="1"/>
  <c r="H206" i="1"/>
  <c r="I30" i="1"/>
  <c r="H40" i="1"/>
  <c r="D166" i="1" l="1"/>
  <c r="D170" i="1"/>
  <c r="C132" i="1"/>
  <c r="E46" i="1"/>
  <c r="G44" i="1"/>
  <c r="G43" i="1"/>
  <c r="H105" i="1" s="1"/>
  <c r="G45" i="1"/>
  <c r="I206" i="1"/>
  <c r="J30" i="1"/>
  <c r="I40" i="1"/>
  <c r="D159" i="1"/>
  <c r="C46" i="1"/>
  <c r="D116" i="1" s="1"/>
  <c r="D154" i="1" s="1"/>
  <c r="D176" i="1"/>
  <c r="C136" i="1"/>
  <c r="D119" i="1"/>
  <c r="F46" i="1"/>
  <c r="H41" i="1"/>
  <c r="H42" i="1" s="1"/>
  <c r="H39" i="1"/>
  <c r="D177" i="1"/>
  <c r="C137" i="1"/>
  <c r="D120" i="1"/>
  <c r="D208" i="1"/>
  <c r="E109" i="1"/>
  <c r="D65" i="1"/>
  <c r="D66" i="1" s="1"/>
  <c r="D67" i="1" s="1"/>
  <c r="E106" i="1"/>
  <c r="E107" i="1" s="1"/>
  <c r="D174" i="1" l="1"/>
  <c r="D185" i="1" s="1"/>
  <c r="E208" i="1"/>
  <c r="E65" i="1"/>
  <c r="E66" i="1" s="1"/>
  <c r="E67" i="1" s="1"/>
  <c r="F109" i="1"/>
  <c r="F106" i="1" s="1"/>
  <c r="F107" i="1" s="1"/>
  <c r="D126" i="1"/>
  <c r="D184" i="1"/>
  <c r="K30" i="1"/>
  <c r="J40" i="1"/>
  <c r="J206" i="1"/>
  <c r="D68" i="1"/>
  <c r="D131" i="1" s="1"/>
  <c r="E167" i="1" s="1"/>
  <c r="D70" i="1"/>
  <c r="D69" i="1"/>
  <c r="I39" i="1"/>
  <c r="I41" i="1"/>
  <c r="I42" i="1" s="1"/>
  <c r="G46" i="1"/>
  <c r="D158" i="1"/>
  <c r="D125" i="1"/>
  <c r="H44" i="1"/>
  <c r="H43" i="1"/>
  <c r="I105" i="1" s="1"/>
  <c r="H45" i="1"/>
  <c r="D124" i="1"/>
  <c r="D157" i="1"/>
  <c r="F65" i="1" l="1"/>
  <c r="F66" i="1" s="1"/>
  <c r="F67" i="1" s="1"/>
  <c r="G109" i="1"/>
  <c r="G106" i="1" s="1"/>
  <c r="G107" i="1" s="1"/>
  <c r="F208" i="1"/>
  <c r="I45" i="1"/>
  <c r="I44" i="1"/>
  <c r="I43" i="1"/>
  <c r="J105" i="1" s="1"/>
  <c r="E169" i="1"/>
  <c r="D163" i="1"/>
  <c r="D76" i="1"/>
  <c r="E81" i="1"/>
  <c r="D210" i="1"/>
  <c r="E96" i="1"/>
  <c r="D194" i="1"/>
  <c r="D162" i="1"/>
  <c r="D209" i="1"/>
  <c r="D123" i="1"/>
  <c r="D15" i="1" s="1"/>
  <c r="D16" i="1" s="1"/>
  <c r="D17" i="1" s="1"/>
  <c r="D18" i="1" s="1"/>
  <c r="D20" i="1" s="1"/>
  <c r="D21" i="1" s="1"/>
  <c r="D22" i="1" s="1"/>
  <c r="E92" i="1"/>
  <c r="D71" i="1"/>
  <c r="D193" i="1"/>
  <c r="K40" i="1"/>
  <c r="L30" i="1"/>
  <c r="K206" i="1"/>
  <c r="D164" i="1"/>
  <c r="D211" i="1"/>
  <c r="D195" i="1"/>
  <c r="D85" i="1"/>
  <c r="E100" i="1"/>
  <c r="E69" i="1"/>
  <c r="E68" i="1"/>
  <c r="E131" i="1" s="1"/>
  <c r="F167" i="1" s="1"/>
  <c r="E70" i="1"/>
  <c r="E168" i="1"/>
  <c r="J39" i="1"/>
  <c r="J41" i="1"/>
  <c r="J42" i="1" s="1"/>
  <c r="H46" i="1"/>
  <c r="D161" i="1" l="1"/>
  <c r="H109" i="1"/>
  <c r="G65" i="1"/>
  <c r="G66" i="1" s="1"/>
  <c r="G67" i="1" s="1"/>
  <c r="H106" i="1"/>
  <c r="H107" i="1" s="1"/>
  <c r="G208" i="1"/>
  <c r="D101" i="1"/>
  <c r="D102" i="1" s="1"/>
  <c r="D86" i="1"/>
  <c r="D87" i="1" s="1"/>
  <c r="K39" i="1"/>
  <c r="K41" i="1"/>
  <c r="K42" i="1" s="1"/>
  <c r="F69" i="1"/>
  <c r="F68" i="1"/>
  <c r="F131" i="1" s="1"/>
  <c r="G167" i="1" s="1"/>
  <c r="F70" i="1"/>
  <c r="I46" i="1"/>
  <c r="D93" i="1"/>
  <c r="D94" i="1" s="1"/>
  <c r="D72" i="1"/>
  <c r="D73" i="1" s="1"/>
  <c r="J45" i="1"/>
  <c r="J44" i="1"/>
  <c r="J43" i="1"/>
  <c r="K105" i="1" s="1"/>
  <c r="F169" i="1"/>
  <c r="F168" i="1"/>
  <c r="D97" i="1"/>
  <c r="D98" i="1" s="1"/>
  <c r="D82" i="1"/>
  <c r="D83" i="1" s="1"/>
  <c r="D77" i="1"/>
  <c r="D78" i="1" s="1"/>
  <c r="E172" i="1" s="1"/>
  <c r="M30" i="1"/>
  <c r="L40" i="1"/>
  <c r="L206" i="1"/>
  <c r="D197" i="1"/>
  <c r="D198" i="1" s="1"/>
  <c r="D23" i="1"/>
  <c r="D24" i="1"/>
  <c r="E115" i="1" s="1"/>
  <c r="E153" i="1" s="1"/>
  <c r="D25" i="1"/>
  <c r="E116" i="1" s="1"/>
  <c r="E154" i="1" s="1"/>
  <c r="D74" i="1" l="1"/>
  <c r="D75" i="1"/>
  <c r="D207" i="1"/>
  <c r="E114" i="1"/>
  <c r="E152" i="1" s="1"/>
  <c r="G169" i="1"/>
  <c r="M206" i="1"/>
  <c r="N30" i="1"/>
  <c r="M40" i="1"/>
  <c r="D201" i="1"/>
  <c r="D141" i="1"/>
  <c r="D146" i="1"/>
  <c r="L41" i="1"/>
  <c r="L42" i="1" s="1"/>
  <c r="L39" i="1"/>
  <c r="K43" i="1"/>
  <c r="L105" i="1" s="1"/>
  <c r="K44" i="1"/>
  <c r="K45" i="1"/>
  <c r="D88" i="1"/>
  <c r="E176" i="1" s="1"/>
  <c r="D89" i="1"/>
  <c r="E121" i="1"/>
  <c r="D142" i="1"/>
  <c r="E181" i="1" s="1"/>
  <c r="D147" i="1"/>
  <c r="J46" i="1"/>
  <c r="G168" i="1"/>
  <c r="D143" i="1"/>
  <c r="E182" i="1" s="1"/>
  <c r="D148" i="1"/>
  <c r="E175" i="1"/>
  <c r="I109" i="1"/>
  <c r="H65" i="1"/>
  <c r="H66" i="1" s="1"/>
  <c r="H67" i="1" s="1"/>
  <c r="I106" i="1"/>
  <c r="I107" i="1" s="1"/>
  <c r="H208" i="1"/>
  <c r="G69" i="1"/>
  <c r="G70" i="1"/>
  <c r="G68" i="1"/>
  <c r="G131" i="1" s="1"/>
  <c r="H167" i="1" s="1"/>
  <c r="E177" i="1" l="1"/>
  <c r="E174" i="1" s="1"/>
  <c r="D137" i="1"/>
  <c r="I208" i="1"/>
  <c r="I65" i="1"/>
  <c r="I66" i="1" s="1"/>
  <c r="I67" i="1" s="1"/>
  <c r="J109" i="1"/>
  <c r="J106" i="1" s="1"/>
  <c r="J107" i="1" s="1"/>
  <c r="E180" i="1"/>
  <c r="E179" i="1" s="1"/>
  <c r="D140" i="1"/>
  <c r="E184" i="1" s="1"/>
  <c r="N206" i="1"/>
  <c r="N40" i="1"/>
  <c r="O30" i="1"/>
  <c r="H169" i="1"/>
  <c r="K46" i="1"/>
  <c r="H70" i="1"/>
  <c r="H69" i="1"/>
  <c r="H68" i="1"/>
  <c r="H131" i="1" s="1"/>
  <c r="I167" i="1" s="1"/>
  <c r="D136" i="1"/>
  <c r="E171" i="1"/>
  <c r="D133" i="1"/>
  <c r="E126" i="1"/>
  <c r="E159" i="1"/>
  <c r="E170" i="1"/>
  <c r="E166" i="1" s="1"/>
  <c r="D132" i="1"/>
  <c r="E120" i="1"/>
  <c r="H168" i="1"/>
  <c r="L44" i="1"/>
  <c r="L43" i="1"/>
  <c r="M105" i="1" s="1"/>
  <c r="L45" i="1"/>
  <c r="D203" i="1"/>
  <c r="D202" i="1"/>
  <c r="M41" i="1"/>
  <c r="M42" i="1" s="1"/>
  <c r="M39" i="1"/>
  <c r="D212" i="1"/>
  <c r="D215" i="1" s="1"/>
  <c r="D27" i="1"/>
  <c r="E119" i="1"/>
  <c r="D216" i="1" l="1"/>
  <c r="D217" i="1"/>
  <c r="J208" i="1"/>
  <c r="K109" i="1"/>
  <c r="K106" i="1" s="1"/>
  <c r="K107" i="1" s="1"/>
  <c r="J65" i="1"/>
  <c r="J66" i="1" s="1"/>
  <c r="J67" i="1" s="1"/>
  <c r="I168" i="1"/>
  <c r="I169" i="1"/>
  <c r="L46" i="1"/>
  <c r="N41" i="1"/>
  <c r="N42" i="1" s="1"/>
  <c r="N39" i="1"/>
  <c r="E158" i="1"/>
  <c r="E125" i="1"/>
  <c r="M44" i="1"/>
  <c r="M45" i="1"/>
  <c r="M43" i="1"/>
  <c r="N105" i="1" s="1"/>
  <c r="O206" i="1"/>
  <c r="O40" i="1"/>
  <c r="E185" i="1"/>
  <c r="E164" i="1"/>
  <c r="E195" i="1"/>
  <c r="E85" i="1"/>
  <c r="F100" i="1"/>
  <c r="E211" i="1"/>
  <c r="I70" i="1"/>
  <c r="I69" i="1"/>
  <c r="I68" i="1"/>
  <c r="I131" i="1" s="1"/>
  <c r="J167" i="1" s="1"/>
  <c r="E124" i="1"/>
  <c r="E157" i="1"/>
  <c r="K208" i="1" l="1"/>
  <c r="L109" i="1"/>
  <c r="L106" i="1" s="1"/>
  <c r="L107" i="1" s="1"/>
  <c r="K65" i="1"/>
  <c r="K66" i="1" s="1"/>
  <c r="K67" i="1" s="1"/>
  <c r="N44" i="1"/>
  <c r="N43" i="1"/>
  <c r="O105" i="1" s="1"/>
  <c r="N45" i="1"/>
  <c r="J169" i="1"/>
  <c r="E163" i="1"/>
  <c r="E210" i="1"/>
  <c r="E76" i="1"/>
  <c r="F81" i="1"/>
  <c r="F96" i="1"/>
  <c r="E194" i="1"/>
  <c r="F92" i="1"/>
  <c r="E162" i="1"/>
  <c r="E161" i="1" s="1"/>
  <c r="E123" i="1"/>
  <c r="E15" i="1" s="1"/>
  <c r="E16" i="1" s="1"/>
  <c r="E17" i="1" s="1"/>
  <c r="E18" i="1" s="1"/>
  <c r="E20" i="1" s="1"/>
  <c r="E21" i="1" s="1"/>
  <c r="E22" i="1" s="1"/>
  <c r="E209" i="1"/>
  <c r="E71" i="1"/>
  <c r="E193" i="1"/>
  <c r="J168" i="1"/>
  <c r="E101" i="1"/>
  <c r="E102" i="1" s="1"/>
  <c r="E86" i="1"/>
  <c r="E87" i="1" s="1"/>
  <c r="P206" i="1"/>
  <c r="J69" i="1"/>
  <c r="J70" i="1"/>
  <c r="J68" i="1"/>
  <c r="J131" i="1" s="1"/>
  <c r="K167" i="1" s="1"/>
  <c r="O41" i="1"/>
  <c r="P40" i="1"/>
  <c r="O39" i="1"/>
  <c r="M46" i="1"/>
  <c r="L208" i="1" l="1"/>
  <c r="L65" i="1"/>
  <c r="L66" i="1" s="1"/>
  <c r="L67" i="1" s="1"/>
  <c r="M109" i="1"/>
  <c r="M106" i="1" s="1"/>
  <c r="M107" i="1" s="1"/>
  <c r="P41" i="1"/>
  <c r="O42" i="1"/>
  <c r="K169" i="1"/>
  <c r="E97" i="1"/>
  <c r="E98" i="1" s="1"/>
  <c r="E77" i="1"/>
  <c r="E78" i="1" s="1"/>
  <c r="F172" i="1" s="1"/>
  <c r="E82" i="1"/>
  <c r="E83" i="1" s="1"/>
  <c r="E89" i="1"/>
  <c r="E88" i="1"/>
  <c r="F176" i="1" s="1"/>
  <c r="K168" i="1"/>
  <c r="N46" i="1"/>
  <c r="E197" i="1"/>
  <c r="E198" i="1" s="1"/>
  <c r="E72" i="1"/>
  <c r="E73" i="1" s="1"/>
  <c r="E93" i="1"/>
  <c r="E94" i="1" s="1"/>
  <c r="E143" i="1"/>
  <c r="F182" i="1" s="1"/>
  <c r="E148" i="1"/>
  <c r="P105" i="1"/>
  <c r="K70" i="1"/>
  <c r="K68" i="1"/>
  <c r="K131" i="1" s="1"/>
  <c r="L167" i="1" s="1"/>
  <c r="K69" i="1"/>
  <c r="E23" i="1"/>
  <c r="E25" i="1"/>
  <c r="F116" i="1" s="1"/>
  <c r="F154" i="1" s="1"/>
  <c r="E24" i="1"/>
  <c r="F115" i="1" s="1"/>
  <c r="F153" i="1" s="1"/>
  <c r="E201" i="1" l="1"/>
  <c r="L168" i="1"/>
  <c r="F175" i="1"/>
  <c r="E136" i="1"/>
  <c r="E207" i="1"/>
  <c r="F114" i="1"/>
  <c r="F152" i="1" s="1"/>
  <c r="L169" i="1"/>
  <c r="O43" i="1"/>
  <c r="P43" i="1" s="1"/>
  <c r="O45" i="1"/>
  <c r="P45" i="1" s="1"/>
  <c r="P42" i="1"/>
  <c r="O44" i="1"/>
  <c r="P44" i="1" s="1"/>
  <c r="E141" i="1"/>
  <c r="E146" i="1"/>
  <c r="L69" i="1"/>
  <c r="L70" i="1"/>
  <c r="L68" i="1"/>
  <c r="L131" i="1" s="1"/>
  <c r="M167" i="1" s="1"/>
  <c r="E137" i="1"/>
  <c r="F177" i="1"/>
  <c r="E142" i="1"/>
  <c r="F181" i="1" s="1"/>
  <c r="E147" i="1"/>
  <c r="N109" i="1"/>
  <c r="M65" i="1"/>
  <c r="M66" i="1" s="1"/>
  <c r="M67" i="1" s="1"/>
  <c r="M208" i="1"/>
  <c r="N106" i="1"/>
  <c r="N107" i="1" s="1"/>
  <c r="E74" i="1"/>
  <c r="E75" i="1"/>
  <c r="F119" i="1"/>
  <c r="M168" i="1" l="1"/>
  <c r="F180" i="1"/>
  <c r="F179" i="1" s="1"/>
  <c r="E140" i="1"/>
  <c r="F184" i="1" s="1"/>
  <c r="M169" i="1"/>
  <c r="F171" i="1"/>
  <c r="E133" i="1"/>
  <c r="F121" i="1"/>
  <c r="F170" i="1"/>
  <c r="F166" i="1" s="1"/>
  <c r="E132" i="1"/>
  <c r="F120" i="1"/>
  <c r="F174" i="1"/>
  <c r="M69" i="1"/>
  <c r="M68" i="1"/>
  <c r="M131" i="1" s="1"/>
  <c r="N167" i="1" s="1"/>
  <c r="M70" i="1"/>
  <c r="O46" i="1"/>
  <c r="P46" i="1" s="1"/>
  <c r="F124" i="1"/>
  <c r="F157" i="1"/>
  <c r="O109" i="1"/>
  <c r="P109" i="1" s="1"/>
  <c r="N208" i="1"/>
  <c r="N65" i="1"/>
  <c r="N66" i="1" s="1"/>
  <c r="N67" i="1" s="1"/>
  <c r="E212" i="1"/>
  <c r="E27" i="1"/>
  <c r="E203" i="1"/>
  <c r="E202" i="1"/>
  <c r="E215" i="1"/>
  <c r="F185" i="1" l="1"/>
  <c r="G92" i="1"/>
  <c r="F209" i="1"/>
  <c r="F162" i="1"/>
  <c r="F71" i="1"/>
  <c r="F193" i="1"/>
  <c r="N169" i="1"/>
  <c r="N168" i="1"/>
  <c r="F126" i="1"/>
  <c r="F159" i="1"/>
  <c r="F158" i="1"/>
  <c r="F125" i="1"/>
  <c r="E216" i="1"/>
  <c r="E217" i="1"/>
  <c r="N70" i="1"/>
  <c r="N69" i="1"/>
  <c r="N68" i="1"/>
  <c r="N131" i="1" s="1"/>
  <c r="O167" i="1" s="1"/>
  <c r="O106" i="1"/>
  <c r="F210" i="1" l="1"/>
  <c r="G96" i="1"/>
  <c r="G81" i="1"/>
  <c r="F76" i="1"/>
  <c r="F163" i="1"/>
  <c r="F194" i="1"/>
  <c r="P167" i="1"/>
  <c r="O169" i="1"/>
  <c r="P169" i="1" s="1"/>
  <c r="F72" i="1"/>
  <c r="F73" i="1" s="1"/>
  <c r="F93" i="1"/>
  <c r="F94" i="1" s="1"/>
  <c r="P106" i="1"/>
  <c r="O107" i="1"/>
  <c r="F164" i="1"/>
  <c r="F211" i="1"/>
  <c r="F85" i="1"/>
  <c r="G100" i="1"/>
  <c r="F195" i="1"/>
  <c r="F197" i="1"/>
  <c r="F198" i="1" s="1"/>
  <c r="O168" i="1"/>
  <c r="P168" i="1" s="1"/>
  <c r="F123" i="1"/>
  <c r="F15" i="1" s="1"/>
  <c r="F16" i="1" s="1"/>
  <c r="F17" i="1" s="1"/>
  <c r="F18" i="1" s="1"/>
  <c r="F20" i="1" s="1"/>
  <c r="F21" i="1" s="1"/>
  <c r="F22" i="1" s="1"/>
  <c r="F161" i="1" l="1"/>
  <c r="F201" i="1"/>
  <c r="P107" i="1"/>
  <c r="O208" i="1"/>
  <c r="P208" i="1" s="1"/>
  <c r="O65" i="1"/>
  <c r="O66" i="1" s="1"/>
  <c r="F141" i="1"/>
  <c r="F146" i="1"/>
  <c r="F86" i="1"/>
  <c r="F87" i="1" s="1"/>
  <c r="F101" i="1"/>
  <c r="F102" i="1" s="1"/>
  <c r="F82" i="1"/>
  <c r="F83" i="1" s="1"/>
  <c r="F97" i="1"/>
  <c r="F98" i="1" s="1"/>
  <c r="F77" i="1"/>
  <c r="F78" i="1" s="1"/>
  <c r="G172" i="1" s="1"/>
  <c r="F75" i="1"/>
  <c r="F74" i="1"/>
  <c r="F25" i="1"/>
  <c r="G116" i="1" s="1"/>
  <c r="G154" i="1" s="1"/>
  <c r="F24" i="1"/>
  <c r="G115" i="1" s="1"/>
  <c r="G153" i="1" s="1"/>
  <c r="F23" i="1"/>
  <c r="F207" i="1" l="1"/>
  <c r="G114" i="1"/>
  <c r="G152" i="1" s="1"/>
  <c r="F142" i="1"/>
  <c r="G181" i="1" s="1"/>
  <c r="F147" i="1"/>
  <c r="G171" i="1"/>
  <c r="F133" i="1"/>
  <c r="F143" i="1"/>
  <c r="G182" i="1" s="1"/>
  <c r="F148" i="1"/>
  <c r="G170" i="1"/>
  <c r="G166" i="1" s="1"/>
  <c r="F132" i="1"/>
  <c r="G175" i="1"/>
  <c r="F89" i="1"/>
  <c r="F88" i="1"/>
  <c r="G121" i="1"/>
  <c r="G180" i="1"/>
  <c r="G179" i="1" s="1"/>
  <c r="F140" i="1"/>
  <c r="G184" i="1" s="1"/>
  <c r="P66" i="1"/>
  <c r="O67" i="1"/>
  <c r="F203" i="1"/>
  <c r="F202" i="1"/>
  <c r="F27" i="1" l="1"/>
  <c r="F212" i="1"/>
  <c r="F215" i="1" s="1"/>
  <c r="P67" i="1"/>
  <c r="O70" i="1"/>
  <c r="O69" i="1"/>
  <c r="O68" i="1"/>
  <c r="F137" i="1"/>
  <c r="G177" i="1"/>
  <c r="G120" i="1"/>
  <c r="G126" i="1"/>
  <c r="G159" i="1"/>
  <c r="G176" i="1"/>
  <c r="G174" i="1" s="1"/>
  <c r="G185" i="1" s="1"/>
  <c r="G119" i="1"/>
  <c r="F136" i="1"/>
  <c r="G124" i="1" l="1"/>
  <c r="G157" i="1"/>
  <c r="G164" i="1"/>
  <c r="G211" i="1"/>
  <c r="H100" i="1"/>
  <c r="G195" i="1"/>
  <c r="G85" i="1"/>
  <c r="G125" i="1"/>
  <c r="G158" i="1"/>
  <c r="O131" i="1"/>
  <c r="P131" i="1" s="1"/>
  <c r="P68" i="1"/>
  <c r="P69" i="1"/>
  <c r="P70" i="1"/>
  <c r="F217" i="1"/>
  <c r="F216" i="1"/>
  <c r="G86" i="1" l="1"/>
  <c r="G87" i="1" s="1"/>
  <c r="G101" i="1"/>
  <c r="G102" i="1" s="1"/>
  <c r="G210" i="1"/>
  <c r="H96" i="1"/>
  <c r="H81" i="1"/>
  <c r="G76" i="1"/>
  <c r="G163" i="1"/>
  <c r="G194" i="1"/>
  <c r="G209" i="1"/>
  <c r="G162" i="1"/>
  <c r="G161" i="1" s="1"/>
  <c r="G123" i="1"/>
  <c r="G15" i="1" s="1"/>
  <c r="G16" i="1" s="1"/>
  <c r="G17" i="1" s="1"/>
  <c r="G18" i="1" s="1"/>
  <c r="G20" i="1" s="1"/>
  <c r="G21" i="1" s="1"/>
  <c r="G22" i="1" s="1"/>
  <c r="H92" i="1"/>
  <c r="G71" i="1"/>
  <c r="G193" i="1"/>
  <c r="G197" i="1" s="1"/>
  <c r="G198" i="1" s="1"/>
  <c r="G24" i="1" l="1"/>
  <c r="H115" i="1" s="1"/>
  <c r="H153" i="1" s="1"/>
  <c r="G25" i="1"/>
  <c r="H116" i="1" s="1"/>
  <c r="H154" i="1" s="1"/>
  <c r="G23" i="1"/>
  <c r="G82" i="1"/>
  <c r="G83" i="1" s="1"/>
  <c r="G97" i="1"/>
  <c r="G98" i="1" s="1"/>
  <c r="G77" i="1"/>
  <c r="G78" i="1" s="1"/>
  <c r="H172" i="1" s="1"/>
  <c r="G201" i="1"/>
  <c r="G143" i="1"/>
  <c r="H182" i="1" s="1"/>
  <c r="G148" i="1"/>
  <c r="G93" i="1"/>
  <c r="G94" i="1" s="1"/>
  <c r="G72" i="1"/>
  <c r="G73" i="1" s="1"/>
  <c r="G89" i="1"/>
  <c r="G88" i="1"/>
  <c r="H176" i="1" s="1"/>
  <c r="G137" i="1" l="1"/>
  <c r="H177" i="1"/>
  <c r="G141" i="1"/>
  <c r="G146" i="1"/>
  <c r="G202" i="1"/>
  <c r="G203" i="1"/>
  <c r="G142" i="1"/>
  <c r="H181" i="1" s="1"/>
  <c r="G147" i="1"/>
  <c r="G74" i="1"/>
  <c r="G75" i="1"/>
  <c r="H119" i="1"/>
  <c r="G136" i="1"/>
  <c r="H175" i="1"/>
  <c r="H174" i="1" s="1"/>
  <c r="G207" i="1"/>
  <c r="H114" i="1"/>
  <c r="H152" i="1" s="1"/>
  <c r="G212" i="1" l="1"/>
  <c r="G215" i="1" s="1"/>
  <c r="G27" i="1"/>
  <c r="H124" i="1"/>
  <c r="H157" i="1"/>
  <c r="H170" i="1"/>
  <c r="G132" i="1"/>
  <c r="H120" i="1"/>
  <c r="H171" i="1"/>
  <c r="G133" i="1"/>
  <c r="H121" i="1"/>
  <c r="G140" i="1"/>
  <c r="H184" i="1" s="1"/>
  <c r="H180" i="1"/>
  <c r="H179" i="1" s="1"/>
  <c r="H166" i="1" l="1"/>
  <c r="H71" i="1"/>
  <c r="H162" i="1"/>
  <c r="H209" i="1"/>
  <c r="I92" i="1"/>
  <c r="H193" i="1"/>
  <c r="H159" i="1"/>
  <c r="H126" i="1"/>
  <c r="H125" i="1"/>
  <c r="H158" i="1"/>
  <c r="G217" i="1"/>
  <c r="G216" i="1"/>
  <c r="H185" i="1"/>
  <c r="H210" i="1" l="1"/>
  <c r="I81" i="1"/>
  <c r="H76" i="1"/>
  <c r="I96" i="1"/>
  <c r="H163" i="1"/>
  <c r="H194" i="1"/>
  <c r="H164" i="1"/>
  <c r="I100" i="1"/>
  <c r="H195" i="1"/>
  <c r="H85" i="1"/>
  <c r="H211" i="1"/>
  <c r="H197" i="1"/>
  <c r="H123" i="1"/>
  <c r="H15" i="1" s="1"/>
  <c r="H16" i="1" s="1"/>
  <c r="H17" i="1" s="1"/>
  <c r="H18" i="1" s="1"/>
  <c r="H20" i="1" s="1"/>
  <c r="H21" i="1" s="1"/>
  <c r="H22" i="1" s="1"/>
  <c r="H161" i="1"/>
  <c r="H93" i="1"/>
  <c r="H94" i="1" s="1"/>
  <c r="H72" i="1"/>
  <c r="H73" i="1" s="1"/>
  <c r="H74" i="1" l="1"/>
  <c r="H75" i="1"/>
  <c r="H141" i="1"/>
  <c r="H146" i="1"/>
  <c r="H201" i="1"/>
  <c r="H24" i="1"/>
  <c r="I115" i="1" s="1"/>
  <c r="I153" i="1" s="1"/>
  <c r="H23" i="1"/>
  <c r="H25" i="1"/>
  <c r="I116" i="1" s="1"/>
  <c r="I154" i="1" s="1"/>
  <c r="H198" i="1"/>
  <c r="H101" i="1"/>
  <c r="H102" i="1" s="1"/>
  <c r="H86" i="1"/>
  <c r="H87" i="1" s="1"/>
  <c r="H77" i="1"/>
  <c r="H78" i="1" s="1"/>
  <c r="I172" i="1" s="1"/>
  <c r="H97" i="1"/>
  <c r="H98" i="1" s="1"/>
  <c r="H82" i="1"/>
  <c r="H83" i="1" s="1"/>
  <c r="I180" i="1" l="1"/>
  <c r="I171" i="1"/>
  <c r="H133" i="1"/>
  <c r="I170" i="1"/>
  <c r="I166" i="1" s="1"/>
  <c r="H132" i="1"/>
  <c r="I175" i="1"/>
  <c r="H142" i="1"/>
  <c r="I181" i="1" s="1"/>
  <c r="H147" i="1"/>
  <c r="H89" i="1"/>
  <c r="H88" i="1"/>
  <c r="I121" i="1"/>
  <c r="H143" i="1"/>
  <c r="I182" i="1" s="1"/>
  <c r="H148" i="1"/>
  <c r="H207" i="1"/>
  <c r="I114" i="1"/>
  <c r="I152" i="1" s="1"/>
  <c r="H202" i="1"/>
  <c r="H203" i="1"/>
  <c r="H27" i="1" l="1"/>
  <c r="H212" i="1"/>
  <c r="H215" i="1" s="1"/>
  <c r="I159" i="1"/>
  <c r="I126" i="1"/>
  <c r="I176" i="1"/>
  <c r="I119" i="1"/>
  <c r="I177" i="1"/>
  <c r="H137" i="1"/>
  <c r="H136" i="1"/>
  <c r="I174" i="1"/>
  <c r="I120" i="1"/>
  <c r="I179" i="1"/>
  <c r="I185" i="1" s="1"/>
  <c r="H140" i="1"/>
  <c r="I184" i="1" s="1"/>
  <c r="I125" i="1" l="1"/>
  <c r="I158" i="1"/>
  <c r="I157" i="1"/>
  <c r="I124" i="1"/>
  <c r="I211" i="1"/>
  <c r="I195" i="1"/>
  <c r="I164" i="1"/>
  <c r="I85" i="1"/>
  <c r="J100" i="1"/>
  <c r="H216" i="1"/>
  <c r="H217" i="1"/>
  <c r="I210" i="1" l="1"/>
  <c r="I76" i="1"/>
  <c r="J96" i="1"/>
  <c r="J81" i="1"/>
  <c r="I163" i="1"/>
  <c r="I194" i="1"/>
  <c r="I101" i="1"/>
  <c r="I102" i="1" s="1"/>
  <c r="I86" i="1"/>
  <c r="I87" i="1" s="1"/>
  <c r="I71" i="1"/>
  <c r="I123" i="1"/>
  <c r="I15" i="1" s="1"/>
  <c r="I16" i="1" s="1"/>
  <c r="I17" i="1" s="1"/>
  <c r="I18" i="1" s="1"/>
  <c r="I20" i="1" s="1"/>
  <c r="I21" i="1" s="1"/>
  <c r="I22" i="1" s="1"/>
  <c r="I209" i="1"/>
  <c r="J92" i="1"/>
  <c r="I162" i="1"/>
  <c r="I161" i="1" s="1"/>
  <c r="I193" i="1"/>
  <c r="I197" i="1" s="1"/>
  <c r="I198" i="1" s="1"/>
  <c r="I24" i="1" l="1"/>
  <c r="J115" i="1" s="1"/>
  <c r="J153" i="1" s="1"/>
  <c r="I25" i="1"/>
  <c r="J116" i="1" s="1"/>
  <c r="J154" i="1" s="1"/>
  <c r="I23" i="1"/>
  <c r="I143" i="1"/>
  <c r="J182" i="1" s="1"/>
  <c r="I148" i="1"/>
  <c r="I201" i="1"/>
  <c r="I72" i="1"/>
  <c r="I73" i="1" s="1"/>
  <c r="I93" i="1"/>
  <c r="I94" i="1" s="1"/>
  <c r="I88" i="1"/>
  <c r="J176" i="1" s="1"/>
  <c r="I89" i="1"/>
  <c r="I77" i="1"/>
  <c r="I78" i="1" s="1"/>
  <c r="J172" i="1" s="1"/>
  <c r="I82" i="1"/>
  <c r="I83" i="1" s="1"/>
  <c r="I97" i="1"/>
  <c r="I98" i="1" s="1"/>
  <c r="J177" i="1" l="1"/>
  <c r="I137" i="1"/>
  <c r="I141" i="1"/>
  <c r="I146" i="1"/>
  <c r="I203" i="1"/>
  <c r="I202" i="1"/>
  <c r="I207" i="1"/>
  <c r="J114" i="1"/>
  <c r="J152" i="1" s="1"/>
  <c r="I142" i="1"/>
  <c r="J181" i="1" s="1"/>
  <c r="I147" i="1"/>
  <c r="I74" i="1"/>
  <c r="I75" i="1"/>
  <c r="J119" i="1"/>
  <c r="J175" i="1"/>
  <c r="J174" i="1" s="1"/>
  <c r="I136" i="1"/>
  <c r="I140" i="1" l="1"/>
  <c r="J184" i="1" s="1"/>
  <c r="J180" i="1"/>
  <c r="J179" i="1" s="1"/>
  <c r="J171" i="1"/>
  <c r="I133" i="1"/>
  <c r="J121" i="1"/>
  <c r="I27" i="1"/>
  <c r="I212" i="1"/>
  <c r="I215" i="1" s="1"/>
  <c r="J157" i="1"/>
  <c r="J124" i="1"/>
  <c r="J170" i="1"/>
  <c r="J166" i="1" s="1"/>
  <c r="J185" i="1" s="1"/>
  <c r="I132" i="1"/>
  <c r="J120" i="1"/>
  <c r="J158" i="1" l="1"/>
  <c r="J125" i="1"/>
  <c r="J162" i="1"/>
  <c r="J209" i="1"/>
  <c r="K92" i="1"/>
  <c r="J71" i="1"/>
  <c r="J193" i="1"/>
  <c r="I217" i="1"/>
  <c r="I216" i="1"/>
  <c r="J126" i="1"/>
  <c r="J159" i="1"/>
  <c r="J211" i="1" l="1"/>
  <c r="K100" i="1"/>
  <c r="J164" i="1"/>
  <c r="J85" i="1"/>
  <c r="J195" i="1"/>
  <c r="J123" i="1"/>
  <c r="J15" i="1" s="1"/>
  <c r="J16" i="1" s="1"/>
  <c r="J17" i="1" s="1"/>
  <c r="J18" i="1" s="1"/>
  <c r="J20" i="1" s="1"/>
  <c r="J21" i="1" s="1"/>
  <c r="J22" i="1" s="1"/>
  <c r="J76" i="1"/>
  <c r="K81" i="1"/>
  <c r="K96" i="1"/>
  <c r="J163" i="1"/>
  <c r="J161" i="1" s="1"/>
  <c r="J194" i="1"/>
  <c r="J210" i="1"/>
  <c r="J197" i="1"/>
  <c r="J198" i="1" s="1"/>
  <c r="J93" i="1"/>
  <c r="J94" i="1" s="1"/>
  <c r="J72" i="1"/>
  <c r="J73" i="1" s="1"/>
  <c r="J201" i="1" l="1"/>
  <c r="J97" i="1"/>
  <c r="J98" i="1" s="1"/>
  <c r="J82" i="1"/>
  <c r="J83" i="1" s="1"/>
  <c r="J77" i="1"/>
  <c r="J78" i="1" s="1"/>
  <c r="K172" i="1" s="1"/>
  <c r="J101" i="1"/>
  <c r="J102" i="1" s="1"/>
  <c r="J86" i="1"/>
  <c r="J87" i="1" s="1"/>
  <c r="J141" i="1"/>
  <c r="J146" i="1"/>
  <c r="J74" i="1"/>
  <c r="J75" i="1"/>
  <c r="J25" i="1"/>
  <c r="K116" i="1" s="1"/>
  <c r="K154" i="1" s="1"/>
  <c r="J24" i="1"/>
  <c r="K115" i="1" s="1"/>
  <c r="K153" i="1" s="1"/>
  <c r="J23" i="1"/>
  <c r="J207" i="1" l="1"/>
  <c r="K114" i="1"/>
  <c r="K152" i="1" s="1"/>
  <c r="J88" i="1"/>
  <c r="J89" i="1"/>
  <c r="K121" i="1"/>
  <c r="K170" i="1"/>
  <c r="J132" i="1"/>
  <c r="K120" i="1"/>
  <c r="K180" i="1"/>
  <c r="J142" i="1"/>
  <c r="K181" i="1" s="1"/>
  <c r="J147" i="1"/>
  <c r="K171" i="1"/>
  <c r="J133" i="1"/>
  <c r="J143" i="1"/>
  <c r="K182" i="1" s="1"/>
  <c r="J148" i="1"/>
  <c r="K175" i="1"/>
  <c r="J136" i="1"/>
  <c r="J202" i="1"/>
  <c r="J203" i="1"/>
  <c r="K174" i="1" l="1"/>
  <c r="K158" i="1"/>
  <c r="K125" i="1"/>
  <c r="K166" i="1"/>
  <c r="K179" i="1"/>
  <c r="J140" i="1"/>
  <c r="K184" i="1" s="1"/>
  <c r="K126" i="1"/>
  <c r="K159" i="1"/>
  <c r="K177" i="1"/>
  <c r="J137" i="1"/>
  <c r="K176" i="1"/>
  <c r="K119" i="1"/>
  <c r="J212" i="1"/>
  <c r="J215" i="1" s="1"/>
  <c r="J27" i="1"/>
  <c r="K157" i="1" l="1"/>
  <c r="K124" i="1"/>
  <c r="K76" i="1"/>
  <c r="L81" i="1"/>
  <c r="K210" i="1"/>
  <c r="L96" i="1"/>
  <c r="K194" i="1"/>
  <c r="K163" i="1"/>
  <c r="J217" i="1"/>
  <c r="J216" i="1"/>
  <c r="K211" i="1"/>
  <c r="L100" i="1"/>
  <c r="K195" i="1"/>
  <c r="K164" i="1"/>
  <c r="K85" i="1"/>
  <c r="K185" i="1"/>
  <c r="K97" i="1" l="1"/>
  <c r="K98" i="1" s="1"/>
  <c r="K77" i="1"/>
  <c r="K78" i="1" s="1"/>
  <c r="L172" i="1" s="1"/>
  <c r="K82" i="1"/>
  <c r="K83" i="1" s="1"/>
  <c r="K101" i="1"/>
  <c r="K102" i="1" s="1"/>
  <c r="K86" i="1"/>
  <c r="K87" i="1" s="1"/>
  <c r="K162" i="1"/>
  <c r="K161" i="1" s="1"/>
  <c r="K209" i="1"/>
  <c r="K123" i="1"/>
  <c r="K15" i="1" s="1"/>
  <c r="K16" i="1" s="1"/>
  <c r="K17" i="1" s="1"/>
  <c r="K18" i="1" s="1"/>
  <c r="K20" i="1" s="1"/>
  <c r="K21" i="1" s="1"/>
  <c r="K22" i="1" s="1"/>
  <c r="L92" i="1"/>
  <c r="K71" i="1"/>
  <c r="K193" i="1"/>
  <c r="K197" i="1" s="1"/>
  <c r="K198" i="1" s="1"/>
  <c r="K142" i="1" l="1"/>
  <c r="L181" i="1" s="1"/>
  <c r="K147" i="1"/>
  <c r="K93" i="1"/>
  <c r="K94" i="1" s="1"/>
  <c r="K72" i="1"/>
  <c r="K73" i="1" s="1"/>
  <c r="K23" i="1"/>
  <c r="K25" i="1"/>
  <c r="L116" i="1" s="1"/>
  <c r="L154" i="1" s="1"/>
  <c r="K24" i="1"/>
  <c r="L115" i="1" s="1"/>
  <c r="L153" i="1" s="1"/>
  <c r="K201" i="1"/>
  <c r="K89" i="1"/>
  <c r="K88" i="1"/>
  <c r="L176" i="1" s="1"/>
  <c r="K143" i="1"/>
  <c r="L182" i="1" s="1"/>
  <c r="K148" i="1"/>
  <c r="L175" i="1"/>
  <c r="K136" i="1"/>
  <c r="L177" i="1" l="1"/>
  <c r="L174" i="1" s="1"/>
  <c r="K137" i="1"/>
  <c r="K141" i="1"/>
  <c r="K146" i="1"/>
  <c r="K202" i="1"/>
  <c r="K203" i="1"/>
  <c r="K207" i="1"/>
  <c r="L114" i="1"/>
  <c r="L152" i="1" s="1"/>
  <c r="K75" i="1"/>
  <c r="K74" i="1"/>
  <c r="L119" i="1"/>
  <c r="L171" i="1" l="1"/>
  <c r="K133" i="1"/>
  <c r="L121" i="1"/>
  <c r="L157" i="1"/>
  <c r="L124" i="1"/>
  <c r="L170" i="1"/>
  <c r="K132" i="1"/>
  <c r="L120" i="1"/>
  <c r="K27" i="1"/>
  <c r="K212" i="1"/>
  <c r="K215" i="1" s="1"/>
  <c r="L180" i="1"/>
  <c r="L179" i="1" s="1"/>
  <c r="K140" i="1"/>
  <c r="L184" i="1" s="1"/>
  <c r="K217" i="1" l="1"/>
  <c r="K216" i="1"/>
  <c r="L158" i="1"/>
  <c r="L125" i="1"/>
  <c r="L159" i="1"/>
  <c r="L126" i="1"/>
  <c r="L166" i="1"/>
  <c r="L185" i="1" s="1"/>
  <c r="L162" i="1"/>
  <c r="L123" i="1"/>
  <c r="L15" i="1" s="1"/>
  <c r="L16" i="1" s="1"/>
  <c r="L17" i="1" s="1"/>
  <c r="L18" i="1" s="1"/>
  <c r="L20" i="1" s="1"/>
  <c r="L21" i="1" s="1"/>
  <c r="L22" i="1" s="1"/>
  <c r="L71" i="1"/>
  <c r="L209" i="1"/>
  <c r="M92" i="1"/>
  <c r="L193" i="1"/>
  <c r="L72" i="1" l="1"/>
  <c r="L73" i="1" s="1"/>
  <c r="L93" i="1"/>
  <c r="L94" i="1" s="1"/>
  <c r="L24" i="1"/>
  <c r="M115" i="1" s="1"/>
  <c r="M153" i="1" s="1"/>
  <c r="L25" i="1"/>
  <c r="M116" i="1" s="1"/>
  <c r="M154" i="1" s="1"/>
  <c r="L23" i="1"/>
  <c r="L85" i="1"/>
  <c r="M100" i="1"/>
  <c r="L164" i="1"/>
  <c r="L195" i="1"/>
  <c r="L211" i="1"/>
  <c r="L76" i="1"/>
  <c r="M81" i="1"/>
  <c r="L210" i="1"/>
  <c r="M96" i="1"/>
  <c r="L163" i="1"/>
  <c r="L161" i="1" s="1"/>
  <c r="L194" i="1"/>
  <c r="L197" i="1" s="1"/>
  <c r="L198" i="1" s="1"/>
  <c r="L201" i="1" l="1"/>
  <c r="L77" i="1"/>
  <c r="L78" i="1" s="1"/>
  <c r="M172" i="1" s="1"/>
  <c r="L97" i="1"/>
  <c r="L98" i="1" s="1"/>
  <c r="L82" i="1"/>
  <c r="L83" i="1" s="1"/>
  <c r="L207" i="1"/>
  <c r="M114" i="1"/>
  <c r="M152" i="1" s="1"/>
  <c r="L141" i="1"/>
  <c r="L146" i="1"/>
  <c r="L101" i="1"/>
  <c r="L102" i="1" s="1"/>
  <c r="L86" i="1"/>
  <c r="L87" i="1" s="1"/>
  <c r="L75" i="1"/>
  <c r="L74" i="1"/>
  <c r="M170" i="1" l="1"/>
  <c r="M166" i="1" s="1"/>
  <c r="L132" i="1"/>
  <c r="L89" i="1"/>
  <c r="M120" i="1" s="1"/>
  <c r="L88" i="1"/>
  <c r="M121" i="1"/>
  <c r="L212" i="1"/>
  <c r="L27" i="1"/>
  <c r="M171" i="1"/>
  <c r="L133" i="1"/>
  <c r="L142" i="1"/>
  <c r="M181" i="1" s="1"/>
  <c r="L147" i="1"/>
  <c r="L143" i="1"/>
  <c r="M182" i="1" s="1"/>
  <c r="L148" i="1"/>
  <c r="M180" i="1"/>
  <c r="M179" i="1" s="1"/>
  <c r="L140" i="1"/>
  <c r="M184" i="1" s="1"/>
  <c r="M175" i="1"/>
  <c r="L136" i="1"/>
  <c r="L215" i="1"/>
  <c r="L202" i="1"/>
  <c r="L203" i="1"/>
  <c r="M125" i="1" l="1"/>
  <c r="M158" i="1"/>
  <c r="L217" i="1"/>
  <c r="L216" i="1"/>
  <c r="M126" i="1"/>
  <c r="M159" i="1"/>
  <c r="M176" i="1"/>
  <c r="M119" i="1"/>
  <c r="M177" i="1"/>
  <c r="L137" i="1"/>
  <c r="M174" i="1" l="1"/>
  <c r="M185" i="1" s="1"/>
  <c r="N96" i="1"/>
  <c r="M163" i="1"/>
  <c r="N81" i="1"/>
  <c r="M210" i="1"/>
  <c r="M76" i="1"/>
  <c r="M194" i="1"/>
  <c r="M157" i="1"/>
  <c r="M124" i="1"/>
  <c r="M164" i="1"/>
  <c r="M195" i="1"/>
  <c r="M85" i="1"/>
  <c r="N100" i="1"/>
  <c r="M211" i="1"/>
  <c r="M123" i="1" l="1"/>
  <c r="M15" i="1" s="1"/>
  <c r="M16" i="1" s="1"/>
  <c r="M17" i="1" s="1"/>
  <c r="M18" i="1" s="1"/>
  <c r="M20" i="1" s="1"/>
  <c r="M21" i="1" s="1"/>
  <c r="M22" i="1" s="1"/>
  <c r="M209" i="1"/>
  <c r="N92" i="1"/>
  <c r="M162" i="1"/>
  <c r="M161" i="1" s="1"/>
  <c r="M71" i="1"/>
  <c r="M193" i="1"/>
  <c r="M197" i="1" s="1"/>
  <c r="M97" i="1"/>
  <c r="M98" i="1" s="1"/>
  <c r="M82" i="1"/>
  <c r="M83" i="1" s="1"/>
  <c r="M77" i="1"/>
  <c r="M78" i="1" s="1"/>
  <c r="N172" i="1" s="1"/>
  <c r="M86" i="1"/>
  <c r="M87" i="1" s="1"/>
  <c r="M101" i="1"/>
  <c r="M102" i="1" s="1"/>
  <c r="M143" i="1" l="1"/>
  <c r="N182" i="1" s="1"/>
  <c r="M148" i="1"/>
  <c r="M89" i="1"/>
  <c r="M88" i="1"/>
  <c r="N176" i="1" s="1"/>
  <c r="M142" i="1"/>
  <c r="N181" i="1" s="1"/>
  <c r="M147" i="1"/>
  <c r="M201" i="1"/>
  <c r="M24" i="1"/>
  <c r="N115" i="1" s="1"/>
  <c r="N153" i="1" s="1"/>
  <c r="M23" i="1"/>
  <c r="M25" i="1"/>
  <c r="N116" i="1" s="1"/>
  <c r="N154" i="1" s="1"/>
  <c r="M136" i="1"/>
  <c r="N175" i="1"/>
  <c r="M198" i="1"/>
  <c r="M72" i="1"/>
  <c r="M73" i="1" s="1"/>
  <c r="M93" i="1"/>
  <c r="M94" i="1" s="1"/>
  <c r="M141" i="1" l="1"/>
  <c r="M146" i="1"/>
  <c r="N177" i="1"/>
  <c r="N174" i="1" s="1"/>
  <c r="M137" i="1"/>
  <c r="M75" i="1"/>
  <c r="M74" i="1"/>
  <c r="N119" i="1"/>
  <c r="M207" i="1"/>
  <c r="N114" i="1"/>
  <c r="N152" i="1" s="1"/>
  <c r="M203" i="1"/>
  <c r="M202" i="1"/>
  <c r="N180" i="1" l="1"/>
  <c r="N179" i="1" s="1"/>
  <c r="M140" i="1"/>
  <c r="N184" i="1" s="1"/>
  <c r="M212" i="1"/>
  <c r="M215" i="1" s="1"/>
  <c r="M27" i="1"/>
  <c r="N157" i="1"/>
  <c r="N124" i="1"/>
  <c r="N170" i="1"/>
  <c r="M132" i="1"/>
  <c r="N120" i="1"/>
  <c r="N171" i="1"/>
  <c r="M133" i="1"/>
  <c r="N121" i="1"/>
  <c r="N126" i="1" l="1"/>
  <c r="N123" i="1" s="1"/>
  <c r="N15" i="1" s="1"/>
  <c r="N16" i="1" s="1"/>
  <c r="N17" i="1" s="1"/>
  <c r="N18" i="1" s="1"/>
  <c r="N20" i="1" s="1"/>
  <c r="N21" i="1" s="1"/>
  <c r="N22" i="1" s="1"/>
  <c r="N159" i="1"/>
  <c r="N166" i="1"/>
  <c r="N185" i="1" s="1"/>
  <c r="N125" i="1"/>
  <c r="N158" i="1"/>
  <c r="N209" i="1"/>
  <c r="N71" i="1"/>
  <c r="O92" i="1"/>
  <c r="N162" i="1"/>
  <c r="N193" i="1"/>
  <c r="M217" i="1"/>
  <c r="M216" i="1"/>
  <c r="N24" i="1" l="1"/>
  <c r="O115" i="1" s="1"/>
  <c r="N25" i="1"/>
  <c r="O116" i="1" s="1"/>
  <c r="N23" i="1"/>
  <c r="N72" i="1"/>
  <c r="N73" i="1" s="1"/>
  <c r="N93" i="1"/>
  <c r="N94" i="1" s="1"/>
  <c r="O96" i="1"/>
  <c r="N163" i="1"/>
  <c r="N76" i="1"/>
  <c r="N210" i="1"/>
  <c r="O81" i="1"/>
  <c r="N194" i="1"/>
  <c r="N164" i="1"/>
  <c r="O100" i="1"/>
  <c r="N211" i="1"/>
  <c r="N85" i="1"/>
  <c r="N195" i="1"/>
  <c r="N197" i="1" l="1"/>
  <c r="N198" i="1" s="1"/>
  <c r="N161" i="1"/>
  <c r="N86" i="1"/>
  <c r="N87" i="1" s="1"/>
  <c r="N101" i="1"/>
  <c r="N102" i="1" s="1"/>
  <c r="N77" i="1"/>
  <c r="N78" i="1" s="1"/>
  <c r="O172" i="1" s="1"/>
  <c r="P172" i="1" s="1"/>
  <c r="N97" i="1"/>
  <c r="N98" i="1" s="1"/>
  <c r="N82" i="1"/>
  <c r="N83" i="1" s="1"/>
  <c r="N141" i="1"/>
  <c r="N146" i="1"/>
  <c r="N207" i="1"/>
  <c r="O114" i="1"/>
  <c r="N75" i="1"/>
  <c r="N74" i="1"/>
  <c r="P116" i="1"/>
  <c r="O154" i="1"/>
  <c r="P154" i="1" s="1"/>
  <c r="P115" i="1"/>
  <c r="O153" i="1"/>
  <c r="P153" i="1" s="1"/>
  <c r="N201" i="1" l="1"/>
  <c r="N215" i="1" s="1"/>
  <c r="O171" i="1"/>
  <c r="P171" i="1" s="1"/>
  <c r="N133" i="1"/>
  <c r="N142" i="1"/>
  <c r="O181" i="1" s="1"/>
  <c r="P181" i="1" s="1"/>
  <c r="N147" i="1"/>
  <c r="O170" i="1"/>
  <c r="N132" i="1"/>
  <c r="N27" i="1"/>
  <c r="N212" i="1"/>
  <c r="O180" i="1"/>
  <c r="O152" i="1"/>
  <c r="P152" i="1" s="1"/>
  <c r="P114" i="1"/>
  <c r="O175" i="1"/>
  <c r="N143" i="1"/>
  <c r="O182" i="1" s="1"/>
  <c r="P182" i="1" s="1"/>
  <c r="N148" i="1"/>
  <c r="N89" i="1"/>
  <c r="O120" i="1" s="1"/>
  <c r="N88" i="1"/>
  <c r="O121" i="1"/>
  <c r="N202" i="1" l="1"/>
  <c r="N203" i="1"/>
  <c r="P120" i="1"/>
  <c r="O125" i="1"/>
  <c r="O158" i="1"/>
  <c r="P158" i="1" s="1"/>
  <c r="N217" i="1"/>
  <c r="N216" i="1"/>
  <c r="O176" i="1"/>
  <c r="P176" i="1" s="1"/>
  <c r="O119" i="1"/>
  <c r="N140" i="1"/>
  <c r="O184" i="1" s="1"/>
  <c r="P184" i="1" s="1"/>
  <c r="O177" i="1"/>
  <c r="P177" i="1" s="1"/>
  <c r="N137" i="1"/>
  <c r="O179" i="1"/>
  <c r="P179" i="1" s="1"/>
  <c r="P180" i="1"/>
  <c r="P170" i="1"/>
  <c r="O166" i="1"/>
  <c r="O159" i="1"/>
  <c r="P159" i="1" s="1"/>
  <c r="O126" i="1"/>
  <c r="P121" i="1"/>
  <c r="P175" i="1"/>
  <c r="O174" i="1"/>
  <c r="P174" i="1" s="1"/>
  <c r="N136" i="1"/>
  <c r="P166" i="1" l="1"/>
  <c r="O185" i="1"/>
  <c r="P185" i="1" s="1"/>
  <c r="O157" i="1"/>
  <c r="P157" i="1" s="1"/>
  <c r="O124" i="1"/>
  <c r="P119" i="1"/>
  <c r="P125" i="1"/>
  <c r="O163" i="1"/>
  <c r="P163" i="1" s="1"/>
  <c r="O76" i="1"/>
  <c r="O210" i="1"/>
  <c r="P210" i="1" s="1"/>
  <c r="O194" i="1"/>
  <c r="P194" i="1" s="1"/>
  <c r="O164" i="1"/>
  <c r="P164" i="1" s="1"/>
  <c r="O211" i="1"/>
  <c r="P211" i="1" s="1"/>
  <c r="P126" i="1"/>
  <c r="O195" i="1"/>
  <c r="P195" i="1" s="1"/>
  <c r="O85" i="1"/>
  <c r="O86" i="1" l="1"/>
  <c r="O101" i="1"/>
  <c r="O77" i="1"/>
  <c r="O97" i="1"/>
  <c r="O82" i="1"/>
  <c r="O209" i="1"/>
  <c r="P209" i="1" s="1"/>
  <c r="P124" i="1"/>
  <c r="O71" i="1"/>
  <c r="O123" i="1"/>
  <c r="O162" i="1"/>
  <c r="O193" i="1"/>
  <c r="O161" i="1" l="1"/>
  <c r="P162" i="1"/>
  <c r="O197" i="1"/>
  <c r="P193" i="1"/>
  <c r="P123" i="1"/>
  <c r="O15" i="1"/>
  <c r="O93" i="1"/>
  <c r="O72" i="1"/>
  <c r="P82" i="1"/>
  <c r="O83" i="1"/>
  <c r="O98" i="1"/>
  <c r="P97" i="1"/>
  <c r="P77" i="1"/>
  <c r="O78" i="1"/>
  <c r="P78" i="1" s="1"/>
  <c r="O102" i="1"/>
  <c r="P101" i="1"/>
  <c r="P86" i="1"/>
  <c r="O87" i="1"/>
  <c r="P87" i="1" l="1"/>
  <c r="O89" i="1"/>
  <c r="O88" i="1"/>
  <c r="P88" i="1" s="1"/>
  <c r="P98" i="1"/>
  <c r="O142" i="1"/>
  <c r="P142" i="1" s="1"/>
  <c r="O147" i="1"/>
  <c r="P147" i="1" s="1"/>
  <c r="P83" i="1"/>
  <c r="O136" i="1"/>
  <c r="P136" i="1" s="1"/>
  <c r="O73" i="1"/>
  <c r="P72" i="1"/>
  <c r="P15" i="1"/>
  <c r="O16" i="1"/>
  <c r="O201" i="1"/>
  <c r="P161" i="1"/>
  <c r="O143" i="1"/>
  <c r="P143" i="1" s="1"/>
  <c r="P102" i="1"/>
  <c r="O148" i="1"/>
  <c r="P148" i="1" s="1"/>
  <c r="P93" i="1"/>
  <c r="O94" i="1"/>
  <c r="P197" i="1"/>
  <c r="O198" i="1"/>
  <c r="P198" i="1" s="1"/>
  <c r="P16" i="1" l="1"/>
  <c r="O17" i="1"/>
  <c r="P94" i="1"/>
  <c r="O141" i="1"/>
  <c r="O146" i="1"/>
  <c r="P146" i="1" s="1"/>
  <c r="O203" i="1"/>
  <c r="P203" i="1" s="1"/>
  <c r="P201" i="1"/>
  <c r="O202" i="1"/>
  <c r="P202" i="1" s="1"/>
  <c r="O74" i="1"/>
  <c r="O75" i="1"/>
  <c r="P73" i="1"/>
  <c r="O137" i="1"/>
  <c r="P137" i="1" s="1"/>
  <c r="P89" i="1"/>
  <c r="P74" i="1" l="1"/>
  <c r="O132" i="1"/>
  <c r="P132" i="1" s="1"/>
  <c r="P75" i="1"/>
  <c r="O133" i="1"/>
  <c r="P133" i="1" s="1"/>
  <c r="O140" i="1"/>
  <c r="P140" i="1" s="1"/>
  <c r="P141" i="1"/>
  <c r="P17" i="1"/>
  <c r="O18" i="1"/>
  <c r="O20" i="1" l="1"/>
  <c r="P18" i="1"/>
  <c r="P20" i="1" l="1"/>
  <c r="O21" i="1"/>
  <c r="O22" i="1" l="1"/>
  <c r="P21" i="1"/>
  <c r="O24" i="1" l="1"/>
  <c r="P24" i="1" s="1"/>
  <c r="O25" i="1"/>
  <c r="P25" i="1" s="1"/>
  <c r="P22" i="1"/>
  <c r="O23" i="1"/>
  <c r="O207" i="1" l="1"/>
  <c r="P23" i="1"/>
  <c r="P207" i="1" l="1"/>
  <c r="O27" i="1"/>
  <c r="P27" i="1" s="1"/>
  <c r="O212" i="1"/>
  <c r="P212" i="1" l="1"/>
  <c r="O215" i="1"/>
  <c r="O217" i="1" l="1"/>
  <c r="P217" i="1" s="1"/>
  <c r="P215" i="1"/>
  <c r="O216" i="1"/>
  <c r="P216" i="1" s="1"/>
</calcChain>
</file>

<file path=xl/sharedStrings.xml><?xml version="1.0" encoding="utf-8"?>
<sst xmlns="http://schemas.openxmlformats.org/spreadsheetml/2006/main" count="181" uniqueCount="116">
  <si>
    <t>Fixed value</t>
  </si>
  <si>
    <t>Value checker</t>
  </si>
  <si>
    <t>Acquisition during the month - Paid Referral</t>
  </si>
  <si>
    <t>% Learners that start invitation flow</t>
  </si>
  <si>
    <t>Invitation flow completion rate</t>
  </si>
  <si>
    <t># Invitations per inviter</t>
  </si>
  <si>
    <t>% Recipients that open the invitation</t>
  </si>
  <si>
    <t>% Recipients that click the invitation</t>
  </si>
  <si>
    <t>% Recipients that finish the signup flow</t>
  </si>
  <si>
    <t>The signups are distributed the following way:</t>
  </si>
  <si>
    <t>...signed up to Basic</t>
  </si>
  <si>
    <t>...signed up to Professional</t>
  </si>
  <si>
    <t>...signed up to Premium</t>
  </si>
  <si>
    <t>Total Learners</t>
  </si>
  <si>
    <t># Total Invitations</t>
  </si>
  <si>
    <t>% Recipients that finish the signup flow...</t>
  </si>
  <si>
    <t>Customer Acquisition Cost</t>
  </si>
  <si>
    <t>Acquisition during the month - Paid Search</t>
  </si>
  <si>
    <t>Total Ad Budget</t>
  </si>
  <si>
    <t>Cost per Click (CpC)</t>
  </si>
  <si>
    <t>Ad CTR on Google</t>
  </si>
  <si>
    <t>% Landing page visitors that start the signup flow</t>
  </si>
  <si>
    <t>% Landing page visitors that complete the signup flow...</t>
  </si>
  <si>
    <t>...signed up to Free</t>
  </si>
  <si>
    <t>Number of Clicks</t>
  </si>
  <si>
    <t># Landing page visitors that start the signup flow</t>
  </si>
  <si>
    <t># Total Landing page visitors that complete the signup flow</t>
  </si>
  <si>
    <t>Credit Card Fees</t>
  </si>
  <si>
    <t>Stripe Charge - Percentage</t>
  </si>
  <si>
    <t>Stripe Charge - Flat</t>
  </si>
  <si>
    <t>Monthly Support Cost</t>
  </si>
  <si>
    <t>Support cost per month - Free</t>
  </si>
  <si>
    <t>Support cost per month - Basic</t>
  </si>
  <si>
    <t>Support cost per month - Pro</t>
  </si>
  <si>
    <t>Support cost per month - Premium</t>
  </si>
  <si>
    <t>Learner License Price / Month</t>
  </si>
  <si>
    <t>Free Tier</t>
  </si>
  <si>
    <t>Basic Tier</t>
  </si>
  <si>
    <t>Professional Tier</t>
  </si>
  <si>
    <t>Premium Tier</t>
  </si>
  <si>
    <t>Plan Upsell</t>
  </si>
  <si>
    <t>Free Tier Users</t>
  </si>
  <si>
    <t>% Learners that are upsold higher plan</t>
  </si>
  <si>
    <t>% Learners that convert on upsell...</t>
  </si>
  <si>
    <t>Basic Tier Users</t>
  </si>
  <si>
    <t>Professional Tier Users</t>
  </si>
  <si>
    <t>% Learners that convert on upsell - Premium</t>
  </si>
  <si>
    <t>Plan Downgrade</t>
  </si>
  <si>
    <t>% Learners that start the plan downgrade flow</t>
  </si>
  <si>
    <t>% Learners that complete the downgrade to Basic</t>
  </si>
  <si>
    <t>Premium Tier Users</t>
  </si>
  <si>
    <t>% Learners that complete the downgrade...</t>
  </si>
  <si>
    <t>Plan Cancellation</t>
  </si>
  <si>
    <t>% Learners that start plan cancellation flow</t>
  </si>
  <si>
    <t>% Learners that complete cancellation</t>
  </si>
  <si>
    <t>Non-Paying Learners Starting - Growth Accounting</t>
  </si>
  <si>
    <t>New Customer</t>
  </si>
  <si>
    <t>Returning Customer</t>
  </si>
  <si>
    <t>Total Non-Paying learners</t>
  </si>
  <si>
    <t>Churned</t>
  </si>
  <si>
    <t>Churn Rate</t>
  </si>
  <si>
    <t>Paying Learners Starting - Growth Accounting</t>
  </si>
  <si>
    <t>New</t>
  </si>
  <si>
    <t>Basic</t>
  </si>
  <si>
    <t>Professional</t>
  </si>
  <si>
    <t>Premium</t>
  </si>
  <si>
    <t>Returning Customers</t>
  </si>
  <si>
    <t>Total Customers</t>
  </si>
  <si>
    <t>Plan Change Requests by Existing Customers During the Month</t>
  </si>
  <si>
    <t>All Upgrades</t>
  </si>
  <si>
    <t>Free to Basic</t>
  </si>
  <si>
    <t>any to Professional</t>
  </si>
  <si>
    <t>any to Premium</t>
  </si>
  <si>
    <t>All Downgrades</t>
  </si>
  <si>
    <t>any to Basic</t>
  </si>
  <si>
    <t>Premium to Professional</t>
  </si>
  <si>
    <t>Cancellations</t>
  </si>
  <si>
    <t>Total Cancellations</t>
  </si>
  <si>
    <t>Unchanged</t>
  </si>
  <si>
    <t>Revenue Accounting</t>
  </si>
  <si>
    <t>New revenue</t>
  </si>
  <si>
    <t>Returning Revenue</t>
  </si>
  <si>
    <t>Total Revenue</t>
  </si>
  <si>
    <t>Expansion Revenue</t>
  </si>
  <si>
    <t>Free to Professional</t>
  </si>
  <si>
    <t>Free to Premium</t>
  </si>
  <si>
    <t>Basic to Professional</t>
  </si>
  <si>
    <t>Basic to Premium</t>
  </si>
  <si>
    <t>Professional to Premium</t>
  </si>
  <si>
    <t>Contraction Revenue</t>
  </si>
  <si>
    <t>Professional to Basic</t>
  </si>
  <si>
    <t>Premium to Basic</t>
  </si>
  <si>
    <t>Churned Revenue</t>
  </si>
  <si>
    <t>Quick Ratio</t>
  </si>
  <si>
    <t>Net Dollar Retention</t>
  </si>
  <si>
    <t>Cost of Goods Sale</t>
  </si>
  <si>
    <t>CoGS per customer</t>
  </si>
  <si>
    <t>Total CoGS</t>
  </si>
  <si>
    <t>Total CoGS (Blended)</t>
  </si>
  <si>
    <t>CoGS per customer (Blended)</t>
  </si>
  <si>
    <t>Gross margin</t>
  </si>
  <si>
    <t>Gross Profit</t>
  </si>
  <si>
    <t>Gross Profit per Customer (Blended)</t>
  </si>
  <si>
    <t>Gross Margin (Blended)</t>
  </si>
  <si>
    <t>Operating Expenses</t>
  </si>
  <si>
    <t>Ad Sepend</t>
  </si>
  <si>
    <t>Referral Cost</t>
  </si>
  <si>
    <t>Total Support Cost - Free Users</t>
  </si>
  <si>
    <t>Total Support Cost - Basic Tier</t>
  </si>
  <si>
    <t>Total Support Cost - Professional Tier</t>
  </si>
  <si>
    <t>Total Support Cost - Premium Tier</t>
  </si>
  <si>
    <t>Total Operating Expense</t>
  </si>
  <si>
    <t>Operating Margin</t>
  </si>
  <si>
    <t>Operating Profit</t>
  </si>
  <si>
    <t>Operating Profit per Customer (Blended)</t>
  </si>
  <si>
    <t>Operating Margin (Blended)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</si>
</sst>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mmm\ yyyy"/>
    <numFmt numFmtId="166" formatCode="&quot;$&quot;#,##0"/>
    <numFmt numFmtId="167" formatCode="_(&quot;$&quot;* #,##0.00_);_(&quot;$&quot;* \(#,##0.00\);_(&quot;$&quot;* &quot;-&quot;??.00_);_(@_)"/>
    <numFmt numFmtId="168" formatCode="&quot;$&quot;#,##0.00"/>
    <numFmt numFmtId="169" formatCode="0.000"/>
    <numFmt numFmtId="170" formatCode="_(&quot;$&quot;* #,##0_);_(&quot;$&quot;* \(#,##0\);_(&quot;$&quot;* &quot;-&quot;??_);_(@_)"/>
  </numFmts>
  <fonts count="21" x14ac:knownFonts="1">
    <font>
      <sz val="10"/>
      <color rgb="FF000000"/>
      <name val="Arial"/>
      <scheme val="minor"/>
    </font>
    <font>
      <b/>
      <sz val="14"/>
      <color rgb="FF3D85C6"/>
      <name val="Arial"/>
      <family val="2"/>
    </font>
    <font>
      <sz val="12"/>
      <color rgb="FF3D85C6"/>
      <name val="Arial"/>
      <family val="2"/>
      <scheme val="minor"/>
    </font>
    <font>
      <sz val="12"/>
      <color rgb="FF3D85C6"/>
      <name val="Arial"/>
      <family val="2"/>
    </font>
    <font>
      <b/>
      <sz val="14"/>
      <color rgb="FF0B5394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3D85C6"/>
      <name val="Arial"/>
      <family val="2"/>
    </font>
    <font>
      <i/>
      <sz val="11"/>
      <color rgb="FF3D85C6"/>
      <name val="Arial"/>
      <family val="2"/>
    </font>
    <font>
      <sz val="14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0000FF"/>
      <name val="Arial"/>
      <family val="2"/>
    </font>
    <font>
      <sz val="14"/>
      <color rgb="FF3D85C6"/>
      <name val="Arial"/>
      <family val="2"/>
      <scheme val="minor"/>
    </font>
    <font>
      <sz val="14"/>
      <color theme="4"/>
      <name val="Arial"/>
      <family val="2"/>
    </font>
    <font>
      <sz val="13"/>
      <color rgb="FF3D85C6"/>
      <name val="Arial"/>
      <family val="2"/>
    </font>
    <font>
      <i/>
      <sz val="12"/>
      <color rgb="FF3D85C6"/>
      <name val="Arial"/>
      <family val="2"/>
    </font>
    <font>
      <sz val="10"/>
      <color rgb="FF000000"/>
      <name val="Arial"/>
      <family val="2"/>
    </font>
    <font>
      <i/>
      <sz val="12"/>
      <color rgb="FF7F6000"/>
      <name val="Arial"/>
      <family val="2"/>
    </font>
    <font>
      <sz val="10"/>
      <color theme="0"/>
      <name val="Arial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5" fontId="2" fillId="2" borderId="0" xfId="0" applyNumberFormat="1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9" fontId="8" fillId="0" borderId="0" xfId="0" applyNumberFormat="1" applyFont="1"/>
    <xf numFmtId="9" fontId="9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3" fontId="7" fillId="0" borderId="0" xfId="0" applyNumberFormat="1" applyFont="1"/>
    <xf numFmtId="3" fontId="6" fillId="4" borderId="0" xfId="0" applyNumberFormat="1" applyFont="1" applyFill="1"/>
    <xf numFmtId="3" fontId="6" fillId="0" borderId="0" xfId="0" applyNumberFormat="1" applyFont="1"/>
    <xf numFmtId="0" fontId="11" fillId="0" borderId="0" xfId="0" applyFont="1" applyAlignment="1">
      <alignment horizontal="right"/>
    </xf>
    <xf numFmtId="166" fontId="10" fillId="4" borderId="0" xfId="0" applyNumberFormat="1" applyFont="1" applyFill="1"/>
    <xf numFmtId="167" fontId="5" fillId="4" borderId="0" xfId="0" applyNumberFormat="1" applyFont="1" applyFill="1"/>
    <xf numFmtId="168" fontId="6" fillId="0" borderId="0" xfId="0" applyNumberFormat="1" applyFont="1"/>
    <xf numFmtId="166" fontId="8" fillId="0" borderId="0" xfId="0" applyNumberFormat="1" applyFont="1"/>
    <xf numFmtId="166" fontId="6" fillId="0" borderId="0" xfId="0" applyNumberFormat="1" applyFont="1"/>
    <xf numFmtId="168" fontId="8" fillId="0" borderId="0" xfId="0" applyNumberFormat="1" applyFont="1" applyAlignment="1">
      <alignment horizontal="right"/>
    </xf>
    <xf numFmtId="10" fontId="8" fillId="0" borderId="0" xfId="0" applyNumberFormat="1" applyFont="1"/>
    <xf numFmtId="0" fontId="8" fillId="3" borderId="0" xfId="0" applyFont="1" applyFill="1"/>
    <xf numFmtId="10" fontId="8" fillId="0" borderId="0" xfId="0" applyNumberFormat="1" applyFont="1" applyAlignment="1">
      <alignment horizontal="right"/>
    </xf>
    <xf numFmtId="168" fontId="8" fillId="0" borderId="0" xfId="0" applyNumberFormat="1" applyFont="1"/>
    <xf numFmtId="0" fontId="12" fillId="0" borderId="0" xfId="0" applyFont="1"/>
    <xf numFmtId="3" fontId="6" fillId="2" borderId="0" xfId="0" applyNumberFormat="1" applyFont="1" applyFill="1"/>
    <xf numFmtId="9" fontId="13" fillId="0" borderId="0" xfId="0" applyNumberFormat="1" applyFont="1"/>
    <xf numFmtId="0" fontId="5" fillId="0" borderId="0" xfId="0" applyFont="1"/>
    <xf numFmtId="0" fontId="5" fillId="4" borderId="0" xfId="0" applyFont="1" applyFill="1"/>
    <xf numFmtId="3" fontId="5" fillId="4" borderId="0" xfId="0" applyNumberFormat="1" applyFont="1" applyFill="1"/>
    <xf numFmtId="0" fontId="14" fillId="0" borderId="0" xfId="0" applyFont="1"/>
    <xf numFmtId="0" fontId="15" fillId="0" borderId="0" xfId="0" applyFont="1" applyAlignment="1">
      <alignment horizontal="center" vertical="center"/>
    </xf>
    <xf numFmtId="1" fontId="5" fillId="4" borderId="0" xfId="0" applyNumberFormat="1" applyFont="1" applyFill="1"/>
    <xf numFmtId="9" fontId="5" fillId="0" borderId="0" xfId="0" applyNumberFormat="1" applyFont="1"/>
    <xf numFmtId="1" fontId="8" fillId="0" borderId="0" xfId="0" applyNumberFormat="1" applyFont="1"/>
    <xf numFmtId="0" fontId="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3" fontId="5" fillId="0" borderId="0" xfId="0" applyNumberFormat="1" applyFont="1"/>
    <xf numFmtId="3" fontId="17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3" fontId="5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168" fontId="5" fillId="0" borderId="0" xfId="0" applyNumberFormat="1" applyFont="1"/>
    <xf numFmtId="168" fontId="5" fillId="0" borderId="0" xfId="0" applyNumberFormat="1" applyFont="1" applyAlignment="1">
      <alignment horizontal="right"/>
    </xf>
    <xf numFmtId="167" fontId="5" fillId="0" borderId="0" xfId="0" applyNumberFormat="1" applyFont="1"/>
    <xf numFmtId="167" fontId="6" fillId="0" borderId="0" xfId="0" applyNumberFormat="1" applyFont="1"/>
    <xf numFmtId="169" fontId="5" fillId="4" borderId="0" xfId="0" applyNumberFormat="1" applyFont="1" applyFill="1"/>
    <xf numFmtId="168" fontId="6" fillId="4" borderId="0" xfId="0" applyNumberFormat="1" applyFont="1" applyFill="1"/>
    <xf numFmtId="0" fontId="6" fillId="4" borderId="0" xfId="0" applyFont="1" applyFill="1"/>
    <xf numFmtId="164" fontId="6" fillId="0" borderId="0" xfId="0" applyNumberFormat="1" applyFont="1"/>
    <xf numFmtId="164" fontId="6" fillId="2" borderId="0" xfId="0" applyNumberFormat="1" applyFont="1" applyFill="1"/>
    <xf numFmtId="167" fontId="6" fillId="4" borderId="0" xfId="0" applyNumberFormat="1" applyFont="1" applyFill="1"/>
    <xf numFmtId="10" fontId="6" fillId="0" borderId="0" xfId="0" applyNumberFormat="1" applyFont="1"/>
    <xf numFmtId="10" fontId="6" fillId="2" borderId="0" xfId="0" applyNumberFormat="1" applyFont="1" applyFill="1"/>
    <xf numFmtId="10" fontId="6" fillId="4" borderId="0" xfId="0" applyNumberFormat="1" applyFont="1" applyFill="1"/>
    <xf numFmtId="10" fontId="5" fillId="0" borderId="0" xfId="0" applyNumberFormat="1" applyFont="1" applyAlignment="1">
      <alignment horizontal="right"/>
    </xf>
    <xf numFmtId="10" fontId="5" fillId="0" borderId="0" xfId="0" applyNumberFormat="1" applyFont="1"/>
    <xf numFmtId="0" fontId="6" fillId="0" borderId="0" xfId="0" applyFont="1"/>
    <xf numFmtId="165" fontId="6" fillId="0" borderId="0" xfId="0" applyNumberFormat="1" applyFont="1"/>
    <xf numFmtId="170" fontId="6" fillId="0" borderId="0" xfId="0" applyNumberFormat="1" applyFont="1"/>
    <xf numFmtId="165" fontId="19" fillId="0" borderId="0" xfId="0" applyNumberFormat="1" applyFont="1"/>
    <xf numFmtId="0" fontId="19" fillId="0" borderId="0" xfId="0" applyFont="1"/>
    <xf numFmtId="3" fontId="19" fillId="0" borderId="0" xfId="0" applyNumberFormat="1" applyFont="1"/>
    <xf numFmtId="168" fontId="19" fillId="0" borderId="0" xfId="0" applyNumberFormat="1" applyFont="1"/>
    <xf numFmtId="166" fontId="19" fillId="0" borderId="0" xfId="0" applyNumberFormat="1" applyFont="1"/>
    <xf numFmtId="10" fontId="19" fillId="0" borderId="0" xfId="0" applyNumberFormat="1" applyFont="1"/>
    <xf numFmtId="168" fontId="20" fillId="0" borderId="0" xfId="0" applyNumberFormat="1" applyFont="1" applyAlignment="1">
      <alignment horizontal="right"/>
    </xf>
    <xf numFmtId="10" fontId="20" fillId="0" borderId="0" xfId="0" applyNumberFormat="1" applyFont="1" applyAlignment="1">
      <alignment horizontal="right"/>
    </xf>
    <xf numFmtId="170" fontId="19" fillId="0" borderId="0" xfId="0" applyNumberFormat="1" applyFont="1"/>
  </cellXfs>
  <cellStyles count="1">
    <cellStyle name="Normal" xfId="0" builtinId="0"/>
  </cellStyles>
  <dxfs count="2"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B7E1CD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57"/>
  <sheetViews>
    <sheetView tabSelected="1" workbookViewId="0">
      <pane ySplit="1" topLeftCell="A185" activePane="bottomLeft" state="frozen"/>
      <selection pane="bottomLeft" activeCell="A9" sqref="A9"/>
    </sheetView>
  </sheetViews>
  <sheetFormatPr baseColWidth="10" defaultColWidth="12.5" defaultRowHeight="15.75" customHeight="1" x14ac:dyDescent="0.15"/>
  <cols>
    <col min="1" max="1" width="82.1640625" customWidth="1"/>
    <col min="2" max="2" width="12.5" customWidth="1"/>
    <col min="3" max="3" width="11.5" bestFit="1" customWidth="1"/>
    <col min="4" max="15" width="13" bestFit="1" customWidth="1"/>
    <col min="16" max="16" width="7" customWidth="1"/>
    <col min="17" max="17" width="11.6640625" style="71" bestFit="1" customWidth="1"/>
  </cols>
  <sheetData>
    <row r="1" spans="1:18" ht="28.5" customHeight="1" x14ac:dyDescent="0.15">
      <c r="A1" s="1"/>
      <c r="B1" s="2" t="s">
        <v>0</v>
      </c>
      <c r="C1" s="3">
        <v>45261</v>
      </c>
      <c r="D1" s="4">
        <v>45292</v>
      </c>
      <c r="E1" s="3">
        <v>45323</v>
      </c>
      <c r="F1" s="4">
        <v>45352</v>
      </c>
      <c r="G1" s="3">
        <v>45383</v>
      </c>
      <c r="H1" s="4">
        <v>45413</v>
      </c>
      <c r="I1" s="3">
        <v>45444</v>
      </c>
      <c r="J1" s="4">
        <v>45474</v>
      </c>
      <c r="K1" s="3">
        <v>45505</v>
      </c>
      <c r="L1" s="4">
        <v>45536</v>
      </c>
      <c r="M1" s="3">
        <v>45566</v>
      </c>
      <c r="N1" s="4">
        <v>45597</v>
      </c>
      <c r="O1" s="3">
        <v>45627</v>
      </c>
      <c r="P1" s="5" t="s">
        <v>1</v>
      </c>
      <c r="Q1" s="70"/>
    </row>
    <row r="2" spans="1:18" ht="18" customHeight="1" x14ac:dyDescent="0.2">
      <c r="A2" s="6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1:18" ht="18" customHeight="1" x14ac:dyDescent="0.2">
      <c r="A3" s="10" t="s">
        <v>3</v>
      </c>
      <c r="B3" s="11">
        <v>0.2</v>
      </c>
      <c r="C3" s="11"/>
      <c r="P3" s="8"/>
    </row>
    <row r="4" spans="1:18" ht="18" customHeight="1" x14ac:dyDescent="0.2">
      <c r="A4" s="10" t="s">
        <v>4</v>
      </c>
      <c r="B4" s="11">
        <v>0.8</v>
      </c>
      <c r="C4" s="11"/>
      <c r="P4" s="8"/>
    </row>
    <row r="5" spans="1:18" ht="18" customHeight="1" x14ac:dyDescent="0.2">
      <c r="A5" s="10" t="s">
        <v>5</v>
      </c>
      <c r="B5" s="10">
        <v>4.2</v>
      </c>
      <c r="C5" s="10"/>
      <c r="P5" s="8"/>
    </row>
    <row r="6" spans="1:18" ht="18" customHeight="1" x14ac:dyDescent="0.2">
      <c r="A6" s="10"/>
      <c r="B6" s="10"/>
      <c r="C6" s="10"/>
      <c r="P6" s="8"/>
    </row>
    <row r="7" spans="1:18" ht="18" customHeight="1" x14ac:dyDescent="0.2">
      <c r="A7" s="10" t="s">
        <v>6</v>
      </c>
      <c r="B7" s="11">
        <v>0.7</v>
      </c>
      <c r="C7" s="11"/>
      <c r="P7" s="8"/>
    </row>
    <row r="8" spans="1:18" ht="18" customHeight="1" x14ac:dyDescent="0.2">
      <c r="A8" s="10" t="s">
        <v>7</v>
      </c>
      <c r="B8" s="11">
        <v>0.2</v>
      </c>
      <c r="C8" s="11"/>
      <c r="P8" s="8"/>
    </row>
    <row r="9" spans="1:18" ht="18" customHeight="1" x14ac:dyDescent="0.2">
      <c r="A9" s="10" t="s">
        <v>8</v>
      </c>
      <c r="B9" s="11">
        <v>0.45</v>
      </c>
      <c r="C9" s="11"/>
      <c r="P9" s="8"/>
    </row>
    <row r="10" spans="1:18" ht="18" customHeight="1" x14ac:dyDescent="0.2">
      <c r="A10" s="10" t="s">
        <v>9</v>
      </c>
      <c r="C10" s="12"/>
      <c r="P10" s="8"/>
    </row>
    <row r="11" spans="1:18" ht="14.25" customHeight="1" x14ac:dyDescent="0.15">
      <c r="A11" s="13" t="s">
        <v>10</v>
      </c>
      <c r="B11" s="12">
        <v>0.8</v>
      </c>
      <c r="C11" s="12"/>
      <c r="P11" s="8"/>
    </row>
    <row r="12" spans="1:18" ht="14.25" customHeight="1" x14ac:dyDescent="0.15">
      <c r="A12" s="13" t="s">
        <v>11</v>
      </c>
      <c r="B12" s="12">
        <v>0.18</v>
      </c>
      <c r="C12" s="12"/>
      <c r="P12" s="8"/>
    </row>
    <row r="13" spans="1:18" ht="14.25" customHeight="1" x14ac:dyDescent="0.15">
      <c r="A13" s="13" t="s">
        <v>12</v>
      </c>
      <c r="B13" s="12">
        <v>0.02</v>
      </c>
      <c r="P13" s="8"/>
    </row>
    <row r="14" spans="1:18" ht="18" customHeight="1" x14ac:dyDescent="0.2">
      <c r="A14" s="10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8"/>
      <c r="Q14" s="72"/>
    </row>
    <row r="15" spans="1:18" ht="18" customHeight="1" x14ac:dyDescent="0.2">
      <c r="A15" s="10" t="s">
        <v>13</v>
      </c>
      <c r="B15" s="14"/>
      <c r="C15" s="17">
        <f t="shared" ref="C15:O15" si="0">C107+C123</f>
        <v>18352</v>
      </c>
      <c r="D15" s="17">
        <f t="shared" si="0"/>
        <v>11793.427401629629</v>
      </c>
      <c r="E15" s="17">
        <f t="shared" si="0"/>
        <v>9364.0615086542221</v>
      </c>
      <c r="F15" s="17">
        <f t="shared" si="0"/>
        <v>7969.1787204046759</v>
      </c>
      <c r="G15" s="17">
        <f t="shared" si="0"/>
        <v>6973.8410712588702</v>
      </c>
      <c r="H15" s="17">
        <f t="shared" si="0"/>
        <v>6223.3105144619549</v>
      </c>
      <c r="I15" s="17">
        <f t="shared" si="0"/>
        <v>5657.8732170805943</v>
      </c>
      <c r="J15" s="17">
        <f t="shared" si="0"/>
        <v>5239.6853326198634</v>
      </c>
      <c r="K15" s="17">
        <f t="shared" si="0"/>
        <v>4939.2173998572425</v>
      </c>
      <c r="L15" s="17">
        <f t="shared" si="0"/>
        <v>4732.5035618602205</v>
      </c>
      <c r="M15" s="17">
        <f t="shared" si="0"/>
        <v>4600.1501128172722</v>
      </c>
      <c r="N15" s="17">
        <f t="shared" si="0"/>
        <v>4526.5940817701348</v>
      </c>
      <c r="O15" s="17">
        <f t="shared" si="0"/>
        <v>4499.4314701952399</v>
      </c>
      <c r="P15" s="8" t="b">
        <f>ROUND(O15,0)=ROUND(Q15,0)</f>
        <v>1</v>
      </c>
      <c r="Q15" s="72">
        <v>4499</v>
      </c>
      <c r="R15" s="18"/>
    </row>
    <row r="16" spans="1:18" ht="18" customHeight="1" x14ac:dyDescent="0.2">
      <c r="A16" s="10" t="s">
        <v>3</v>
      </c>
      <c r="B16" s="14"/>
      <c r="C16" s="17">
        <f t="shared" ref="C16:O16" si="1">$B$3*C15</f>
        <v>3670.4</v>
      </c>
      <c r="D16" s="17">
        <f t="shared" si="1"/>
        <v>2358.6854803259262</v>
      </c>
      <c r="E16" s="17">
        <f t="shared" si="1"/>
        <v>1872.8123017308444</v>
      </c>
      <c r="F16" s="17">
        <f t="shared" si="1"/>
        <v>1593.8357440809352</v>
      </c>
      <c r="G16" s="17">
        <f t="shared" si="1"/>
        <v>1394.7682142517742</v>
      </c>
      <c r="H16" s="17">
        <f t="shared" si="1"/>
        <v>1244.662102892391</v>
      </c>
      <c r="I16" s="17">
        <f t="shared" si="1"/>
        <v>1131.574643416119</v>
      </c>
      <c r="J16" s="17">
        <f t="shared" si="1"/>
        <v>1047.9370665239728</v>
      </c>
      <c r="K16" s="17">
        <f t="shared" si="1"/>
        <v>987.84347997144857</v>
      </c>
      <c r="L16" s="17">
        <f t="shared" si="1"/>
        <v>946.50071237204418</v>
      </c>
      <c r="M16" s="17">
        <f t="shared" si="1"/>
        <v>920.03002256345451</v>
      </c>
      <c r="N16" s="17">
        <f t="shared" si="1"/>
        <v>905.31881635402704</v>
      </c>
      <c r="O16" s="17">
        <f t="shared" si="1"/>
        <v>899.88629403904804</v>
      </c>
      <c r="P16" s="8" t="b">
        <f>ROUND(O16,0)=ROUND(Q16,0)</f>
        <v>1</v>
      </c>
      <c r="Q16" s="71">
        <v>900</v>
      </c>
    </row>
    <row r="17" spans="1:18" ht="18" customHeight="1" x14ac:dyDescent="0.2">
      <c r="A17" s="10" t="s">
        <v>4</v>
      </c>
      <c r="B17" s="14"/>
      <c r="C17" s="17">
        <f t="shared" ref="C17:O17" si="2">$B$4*C16</f>
        <v>2936.32</v>
      </c>
      <c r="D17" s="17">
        <f t="shared" si="2"/>
        <v>1886.948384260741</v>
      </c>
      <c r="E17" s="17">
        <f t="shared" si="2"/>
        <v>1498.2498413846756</v>
      </c>
      <c r="F17" s="17">
        <f t="shared" si="2"/>
        <v>1275.0685952647482</v>
      </c>
      <c r="G17" s="17">
        <f t="shared" si="2"/>
        <v>1115.8145714014195</v>
      </c>
      <c r="H17" s="17">
        <f t="shared" si="2"/>
        <v>995.7296823139128</v>
      </c>
      <c r="I17" s="17">
        <f t="shared" si="2"/>
        <v>905.25971473289519</v>
      </c>
      <c r="J17" s="17">
        <f t="shared" si="2"/>
        <v>838.34965321917832</v>
      </c>
      <c r="K17" s="17">
        <f t="shared" si="2"/>
        <v>790.2747839771589</v>
      </c>
      <c r="L17" s="17">
        <f t="shared" si="2"/>
        <v>757.20056989763543</v>
      </c>
      <c r="M17" s="17">
        <f t="shared" si="2"/>
        <v>736.02401805076363</v>
      </c>
      <c r="N17" s="17">
        <f t="shared" si="2"/>
        <v>724.2550530832217</v>
      </c>
      <c r="O17" s="17">
        <f t="shared" si="2"/>
        <v>719.90903523123848</v>
      </c>
      <c r="P17" s="8" t="b">
        <f>ROUND(O17,0)=ROUND(Q17,0)</f>
        <v>1</v>
      </c>
      <c r="Q17" s="71">
        <v>720</v>
      </c>
    </row>
    <row r="18" spans="1:18" ht="18" customHeight="1" x14ac:dyDescent="0.2">
      <c r="A18" s="10" t="s">
        <v>14</v>
      </c>
      <c r="B18" s="14"/>
      <c r="C18" s="17">
        <f t="shared" ref="C18:O18" si="3">$B$5*C17</f>
        <v>12332.544000000002</v>
      </c>
      <c r="D18" s="17">
        <f t="shared" si="3"/>
        <v>7925.1832138951122</v>
      </c>
      <c r="E18" s="17">
        <f t="shared" si="3"/>
        <v>6292.6493338156379</v>
      </c>
      <c r="F18" s="17">
        <f t="shared" si="3"/>
        <v>5355.2881001119422</v>
      </c>
      <c r="G18" s="17">
        <f t="shared" si="3"/>
        <v>4686.4211998859619</v>
      </c>
      <c r="H18" s="17">
        <f t="shared" si="3"/>
        <v>4182.0646657184343</v>
      </c>
      <c r="I18" s="17">
        <f t="shared" si="3"/>
        <v>3802.0908018781602</v>
      </c>
      <c r="J18" s="17">
        <f t="shared" si="3"/>
        <v>3521.0685435205492</v>
      </c>
      <c r="K18" s="17">
        <f t="shared" si="3"/>
        <v>3319.1540927040674</v>
      </c>
      <c r="L18" s="17">
        <f t="shared" si="3"/>
        <v>3180.242393570069</v>
      </c>
      <c r="M18" s="17">
        <f t="shared" si="3"/>
        <v>3091.3008758132073</v>
      </c>
      <c r="N18" s="17">
        <f t="shared" si="3"/>
        <v>3041.8712229495313</v>
      </c>
      <c r="O18" s="17">
        <f t="shared" si="3"/>
        <v>3023.6179479712018</v>
      </c>
      <c r="P18" s="8" t="b">
        <f>ROUND(O18,0)=ROUND(Q18,0)</f>
        <v>1</v>
      </c>
      <c r="Q18" s="72">
        <v>3024</v>
      </c>
      <c r="R18" s="18"/>
    </row>
    <row r="19" spans="1:18" ht="18" customHeight="1" x14ac:dyDescent="0.2">
      <c r="A19" s="19"/>
      <c r="B19" s="14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8"/>
    </row>
    <row r="20" spans="1:18" ht="18" customHeight="1" x14ac:dyDescent="0.2">
      <c r="A20" s="10" t="s">
        <v>6</v>
      </c>
      <c r="B20" s="14"/>
      <c r="C20" s="17">
        <f t="shared" ref="C20:O20" si="4">$B$7*C18</f>
        <v>8632.7808000000005</v>
      </c>
      <c r="D20" s="17">
        <f t="shared" si="4"/>
        <v>5547.6282497265784</v>
      </c>
      <c r="E20" s="17">
        <f t="shared" si="4"/>
        <v>4404.8545336709458</v>
      </c>
      <c r="F20" s="17">
        <f t="shared" si="4"/>
        <v>3748.7016700783593</v>
      </c>
      <c r="G20" s="17">
        <f t="shared" si="4"/>
        <v>3280.494839920173</v>
      </c>
      <c r="H20" s="17">
        <f t="shared" si="4"/>
        <v>2927.4452660029037</v>
      </c>
      <c r="I20" s="17">
        <f t="shared" si="4"/>
        <v>2661.463561314712</v>
      </c>
      <c r="J20" s="17">
        <f t="shared" si="4"/>
        <v>2464.7479804643845</v>
      </c>
      <c r="K20" s="17">
        <f t="shared" si="4"/>
        <v>2323.4078648928471</v>
      </c>
      <c r="L20" s="17">
        <f t="shared" si="4"/>
        <v>2226.169675499048</v>
      </c>
      <c r="M20" s="17">
        <f t="shared" si="4"/>
        <v>2163.9106130692448</v>
      </c>
      <c r="N20" s="17">
        <f t="shared" si="4"/>
        <v>2129.3098560646717</v>
      </c>
      <c r="O20" s="17">
        <f t="shared" si="4"/>
        <v>2116.5325635798413</v>
      </c>
      <c r="P20" s="8" t="b">
        <f t="shared" ref="P20:P25" si="5">ROUND(O20,0)=ROUND(Q20,0)</f>
        <v>1</v>
      </c>
      <c r="Q20" s="72">
        <v>2117</v>
      </c>
      <c r="R20" s="18"/>
    </row>
    <row r="21" spans="1:18" ht="18" customHeight="1" x14ac:dyDescent="0.2">
      <c r="A21" s="10" t="s">
        <v>7</v>
      </c>
      <c r="B21" s="14"/>
      <c r="C21" s="17">
        <f t="shared" ref="C21:O21" si="6">$B$8*C20</f>
        <v>1726.5561600000001</v>
      </c>
      <c r="D21" s="17">
        <f t="shared" si="6"/>
        <v>1109.5256499453158</v>
      </c>
      <c r="E21" s="17">
        <f t="shared" si="6"/>
        <v>880.97090673418916</v>
      </c>
      <c r="F21" s="17">
        <f t="shared" si="6"/>
        <v>749.74033401567192</v>
      </c>
      <c r="G21" s="17">
        <f t="shared" si="6"/>
        <v>656.09896798403463</v>
      </c>
      <c r="H21" s="17">
        <f t="shared" si="6"/>
        <v>585.48905320058077</v>
      </c>
      <c r="I21" s="17">
        <f t="shared" si="6"/>
        <v>532.29271226294247</v>
      </c>
      <c r="J21" s="17">
        <f t="shared" si="6"/>
        <v>492.9495960928769</v>
      </c>
      <c r="K21" s="17">
        <f t="shared" si="6"/>
        <v>464.68157297856942</v>
      </c>
      <c r="L21" s="17">
        <f t="shared" si="6"/>
        <v>445.23393509980963</v>
      </c>
      <c r="M21" s="17">
        <f t="shared" si="6"/>
        <v>432.78212261384897</v>
      </c>
      <c r="N21" s="17">
        <f t="shared" si="6"/>
        <v>425.86197121293435</v>
      </c>
      <c r="O21" s="17">
        <f t="shared" si="6"/>
        <v>423.30651271596827</v>
      </c>
      <c r="P21" s="8" t="b">
        <f t="shared" si="5"/>
        <v>1</v>
      </c>
      <c r="Q21" s="71">
        <v>423</v>
      </c>
    </row>
    <row r="22" spans="1:18" ht="18" customHeight="1" x14ac:dyDescent="0.2">
      <c r="A22" s="10" t="s">
        <v>15</v>
      </c>
      <c r="B22" s="14"/>
      <c r="C22" s="17">
        <f t="shared" ref="C22:O22" si="7">$B$9*C21</f>
        <v>776.95027200000004</v>
      </c>
      <c r="D22" s="17">
        <f t="shared" si="7"/>
        <v>499.28654247539208</v>
      </c>
      <c r="E22" s="17">
        <f t="shared" si="7"/>
        <v>396.43690803038515</v>
      </c>
      <c r="F22" s="17">
        <f t="shared" si="7"/>
        <v>337.38315030705235</v>
      </c>
      <c r="G22" s="17">
        <f t="shared" si="7"/>
        <v>295.24453559281557</v>
      </c>
      <c r="H22" s="17">
        <f t="shared" si="7"/>
        <v>263.47007394026133</v>
      </c>
      <c r="I22" s="17">
        <f t="shared" si="7"/>
        <v>239.53172051832411</v>
      </c>
      <c r="J22" s="17">
        <f t="shared" si="7"/>
        <v>221.82731824179461</v>
      </c>
      <c r="K22" s="17">
        <f t="shared" si="7"/>
        <v>209.10670784035625</v>
      </c>
      <c r="L22" s="17">
        <f t="shared" si="7"/>
        <v>200.35527079491433</v>
      </c>
      <c r="M22" s="17">
        <f t="shared" si="7"/>
        <v>194.75195517623203</v>
      </c>
      <c r="N22" s="17">
        <f t="shared" si="7"/>
        <v>191.63788704582046</v>
      </c>
      <c r="O22" s="17">
        <f t="shared" si="7"/>
        <v>190.48793072218572</v>
      </c>
      <c r="P22" s="8" t="b">
        <f t="shared" si="5"/>
        <v>1</v>
      </c>
      <c r="Q22" s="71">
        <v>190</v>
      </c>
    </row>
    <row r="23" spans="1:18" ht="18" customHeight="1" x14ac:dyDescent="0.2">
      <c r="A23" s="13" t="s">
        <v>10</v>
      </c>
      <c r="B23" s="14"/>
      <c r="C23" s="17">
        <f t="shared" ref="C23:O23" si="8">$B$11*C22</f>
        <v>621.5602176000001</v>
      </c>
      <c r="D23" s="17">
        <f t="shared" si="8"/>
        <v>399.42923398031371</v>
      </c>
      <c r="E23" s="17">
        <f t="shared" si="8"/>
        <v>317.14952642430814</v>
      </c>
      <c r="F23" s="17">
        <f t="shared" si="8"/>
        <v>269.9065202456419</v>
      </c>
      <c r="G23" s="17">
        <f t="shared" si="8"/>
        <v>236.19562847425246</v>
      </c>
      <c r="H23" s="17">
        <f t="shared" si="8"/>
        <v>210.77605915220909</v>
      </c>
      <c r="I23" s="17">
        <f t="shared" si="8"/>
        <v>191.62537641465929</v>
      </c>
      <c r="J23" s="17">
        <f t="shared" si="8"/>
        <v>177.4618545934357</v>
      </c>
      <c r="K23" s="17">
        <f t="shared" si="8"/>
        <v>167.28536627228502</v>
      </c>
      <c r="L23" s="17">
        <f t="shared" si="8"/>
        <v>160.28421663593147</v>
      </c>
      <c r="M23" s="17">
        <f t="shared" si="8"/>
        <v>155.80156414098565</v>
      </c>
      <c r="N23" s="17">
        <f t="shared" si="8"/>
        <v>153.31030963665637</v>
      </c>
      <c r="O23" s="17">
        <f t="shared" si="8"/>
        <v>152.39034457774858</v>
      </c>
      <c r="P23" s="8" t="b">
        <f t="shared" si="5"/>
        <v>1</v>
      </c>
      <c r="Q23" s="71">
        <v>152</v>
      </c>
    </row>
    <row r="24" spans="1:18" ht="18" customHeight="1" x14ac:dyDescent="0.2">
      <c r="A24" s="13" t="s">
        <v>11</v>
      </c>
      <c r="B24" s="14"/>
      <c r="C24" s="17">
        <f t="shared" ref="C24:O24" si="9">$B$12*C22</f>
        <v>139.85104896000001</v>
      </c>
      <c r="D24" s="17">
        <f t="shared" si="9"/>
        <v>89.871577645570568</v>
      </c>
      <c r="E24" s="17">
        <f t="shared" si="9"/>
        <v>71.358643445469326</v>
      </c>
      <c r="F24" s="17">
        <f t="shared" si="9"/>
        <v>60.728967055269422</v>
      </c>
      <c r="G24" s="17">
        <f t="shared" si="9"/>
        <v>53.144016406706797</v>
      </c>
      <c r="H24" s="17">
        <f t="shared" si="9"/>
        <v>47.424613309247036</v>
      </c>
      <c r="I24" s="17">
        <f t="shared" si="9"/>
        <v>43.115709693298335</v>
      </c>
      <c r="J24" s="17">
        <f t="shared" si="9"/>
        <v>39.928917283523027</v>
      </c>
      <c r="K24" s="17">
        <f t="shared" si="9"/>
        <v>37.639207411264124</v>
      </c>
      <c r="L24" s="17">
        <f t="shared" si="9"/>
        <v>36.06394874308458</v>
      </c>
      <c r="M24" s="17">
        <f t="shared" si="9"/>
        <v>35.055351931721766</v>
      </c>
      <c r="N24" s="17">
        <f t="shared" si="9"/>
        <v>34.494819668247679</v>
      </c>
      <c r="O24" s="17">
        <f t="shared" si="9"/>
        <v>34.287827529993429</v>
      </c>
      <c r="P24" s="8" t="b">
        <f t="shared" si="5"/>
        <v>1</v>
      </c>
      <c r="Q24" s="71">
        <v>34</v>
      </c>
    </row>
    <row r="25" spans="1:18" ht="18" customHeight="1" x14ac:dyDescent="0.2">
      <c r="A25" s="13" t="s">
        <v>12</v>
      </c>
      <c r="B25" s="14"/>
      <c r="C25" s="17">
        <f t="shared" ref="C25:O25" si="10">$B$13*C22</f>
        <v>15.53900544</v>
      </c>
      <c r="D25" s="17">
        <f t="shared" si="10"/>
        <v>9.9857308495078421</v>
      </c>
      <c r="E25" s="17">
        <f t="shared" si="10"/>
        <v>7.9287381606077032</v>
      </c>
      <c r="F25" s="17">
        <f t="shared" si="10"/>
        <v>6.747663006141047</v>
      </c>
      <c r="G25" s="17">
        <f t="shared" si="10"/>
        <v>5.9048907118563116</v>
      </c>
      <c r="H25" s="17">
        <f t="shared" si="10"/>
        <v>5.2694014788052268</v>
      </c>
      <c r="I25" s="17">
        <f t="shared" si="10"/>
        <v>4.790634410366482</v>
      </c>
      <c r="J25" s="17">
        <f t="shared" si="10"/>
        <v>4.436546364835892</v>
      </c>
      <c r="K25" s="17">
        <f t="shared" si="10"/>
        <v>4.1821341568071251</v>
      </c>
      <c r="L25" s="17">
        <f t="shared" si="10"/>
        <v>4.0071054158982866</v>
      </c>
      <c r="M25" s="17">
        <f t="shared" si="10"/>
        <v>3.8950391035246406</v>
      </c>
      <c r="N25" s="17">
        <f t="shared" si="10"/>
        <v>3.8327577409164095</v>
      </c>
      <c r="O25" s="17">
        <f t="shared" si="10"/>
        <v>3.8097586144437146</v>
      </c>
      <c r="P25" s="8" t="b">
        <f t="shared" si="5"/>
        <v>1</v>
      </c>
      <c r="Q25" s="71">
        <v>4</v>
      </c>
    </row>
    <row r="26" spans="1:18" ht="18" customHeight="1" x14ac:dyDescent="0.2">
      <c r="A26" s="10"/>
      <c r="P26" s="8"/>
    </row>
    <row r="27" spans="1:18" ht="18" customHeight="1" x14ac:dyDescent="0.2">
      <c r="A27" s="10" t="s">
        <v>16</v>
      </c>
      <c r="C27" s="20">
        <f t="shared" ref="C27:O27" si="11">(C206+C207+C208)/C123</f>
        <v>22.010011970176695</v>
      </c>
      <c r="D27" s="21">
        <f t="shared" si="11"/>
        <v>16.96713718666679</v>
      </c>
      <c r="E27" s="21">
        <f t="shared" si="11"/>
        <v>18.052903880667603</v>
      </c>
      <c r="F27" s="21">
        <f t="shared" si="11"/>
        <v>20.764376678303091</v>
      </c>
      <c r="G27" s="21">
        <f t="shared" si="11"/>
        <v>24.20260985457648</v>
      </c>
      <c r="H27" s="21">
        <f t="shared" si="11"/>
        <v>28.0778530752577</v>
      </c>
      <c r="I27" s="21">
        <f t="shared" si="11"/>
        <v>32.204608281001171</v>
      </c>
      <c r="J27" s="21">
        <f t="shared" si="11"/>
        <v>36.401238755469727</v>
      </c>
      <c r="K27" s="21">
        <f t="shared" si="11"/>
        <v>40.486104779173857</v>
      </c>
      <c r="L27" s="21">
        <f t="shared" si="11"/>
        <v>44.297991836736394</v>
      </c>
      <c r="M27" s="21">
        <f t="shared" si="11"/>
        <v>47.71638702593782</v>
      </c>
      <c r="N27" s="21">
        <f t="shared" si="11"/>
        <v>50.671665775748153</v>
      </c>
      <c r="O27" s="21">
        <f t="shared" si="11"/>
        <v>53.14344248046271</v>
      </c>
      <c r="P27" s="8" t="b">
        <f>ROUND(O27,0)=ROUND(Q27,0)</f>
        <v>1</v>
      </c>
      <c r="Q27" s="73">
        <v>53</v>
      </c>
      <c r="R27" s="22"/>
    </row>
    <row r="28" spans="1:18" ht="18" customHeight="1" x14ac:dyDescent="0.2">
      <c r="A28" s="10"/>
      <c r="P28" s="8"/>
    </row>
    <row r="29" spans="1:18" ht="18" customHeight="1" x14ac:dyDescent="0.2">
      <c r="A29" s="6" t="s">
        <v>17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</row>
    <row r="30" spans="1:18" ht="18" customHeight="1" x14ac:dyDescent="0.2">
      <c r="A30" s="10" t="s">
        <v>18</v>
      </c>
      <c r="B30" s="23"/>
      <c r="C30" s="23">
        <v>95000</v>
      </c>
      <c r="D30" s="23">
        <v>100000</v>
      </c>
      <c r="E30" s="23">
        <v>105000</v>
      </c>
      <c r="F30" s="23">
        <f t="shared" ref="F30:O30" si="12">E30+5000</f>
        <v>110000</v>
      </c>
      <c r="G30" s="23">
        <f t="shared" si="12"/>
        <v>115000</v>
      </c>
      <c r="H30" s="23">
        <f t="shared" si="12"/>
        <v>120000</v>
      </c>
      <c r="I30" s="23">
        <f t="shared" si="12"/>
        <v>125000</v>
      </c>
      <c r="J30" s="23">
        <f t="shared" si="12"/>
        <v>130000</v>
      </c>
      <c r="K30" s="23">
        <f t="shared" si="12"/>
        <v>135000</v>
      </c>
      <c r="L30" s="23">
        <f t="shared" si="12"/>
        <v>140000</v>
      </c>
      <c r="M30" s="23">
        <f t="shared" si="12"/>
        <v>145000</v>
      </c>
      <c r="N30" s="23">
        <f t="shared" si="12"/>
        <v>150000</v>
      </c>
      <c r="O30" s="23">
        <f t="shared" si="12"/>
        <v>155000</v>
      </c>
      <c r="P30" s="8"/>
      <c r="Q30" s="74"/>
      <c r="R30" s="24"/>
    </row>
    <row r="31" spans="1:18" ht="18" customHeight="1" x14ac:dyDescent="0.2">
      <c r="A31" s="10" t="s">
        <v>19</v>
      </c>
      <c r="B31" s="25"/>
      <c r="C31" s="25">
        <v>2.7</v>
      </c>
      <c r="D31" s="25">
        <v>2.7</v>
      </c>
      <c r="E31" s="25">
        <v>2.7</v>
      </c>
      <c r="F31" s="25">
        <v>2.7</v>
      </c>
      <c r="G31" s="25">
        <v>2.7</v>
      </c>
      <c r="H31" s="25">
        <v>2.7</v>
      </c>
      <c r="I31" s="25">
        <v>2.7</v>
      </c>
      <c r="J31" s="25">
        <v>2.7</v>
      </c>
      <c r="K31" s="25">
        <v>2.7</v>
      </c>
      <c r="L31" s="25">
        <v>2.7</v>
      </c>
      <c r="M31" s="25">
        <v>2.7</v>
      </c>
      <c r="N31" s="25">
        <v>2.7</v>
      </c>
      <c r="O31" s="25">
        <v>2.7</v>
      </c>
      <c r="P31" s="8"/>
      <c r="Q31" s="73"/>
      <c r="R31" s="22"/>
    </row>
    <row r="32" spans="1:18" ht="18" customHeight="1" x14ac:dyDescent="0.2">
      <c r="A32" s="10" t="s">
        <v>20</v>
      </c>
      <c r="B32" s="26">
        <v>3.1399999999999997E-2</v>
      </c>
      <c r="C32" s="26"/>
      <c r="P32" s="8"/>
    </row>
    <row r="33" spans="1:27" ht="18" customHeight="1" x14ac:dyDescent="0.2">
      <c r="A33" s="10" t="s">
        <v>21</v>
      </c>
      <c r="B33" s="11">
        <v>0.1</v>
      </c>
      <c r="C33" s="11"/>
      <c r="P33" s="8"/>
    </row>
    <row r="34" spans="1:27" ht="18" customHeight="1" x14ac:dyDescent="0.2">
      <c r="A34" s="10" t="s">
        <v>22</v>
      </c>
      <c r="B34" s="11">
        <v>0.25</v>
      </c>
      <c r="C34" s="11"/>
      <c r="P34" s="8"/>
    </row>
    <row r="35" spans="1:27" ht="14.25" customHeight="1" x14ac:dyDescent="0.15">
      <c r="A35" s="13" t="s">
        <v>23</v>
      </c>
      <c r="B35" s="12">
        <v>0.65</v>
      </c>
      <c r="C35" s="12"/>
      <c r="P35" s="8"/>
    </row>
    <row r="36" spans="1:27" ht="14.25" customHeight="1" x14ac:dyDescent="0.15">
      <c r="A36" s="13" t="s">
        <v>10</v>
      </c>
      <c r="B36" s="12">
        <v>0.25</v>
      </c>
      <c r="C36" s="12"/>
      <c r="P36" s="8"/>
    </row>
    <row r="37" spans="1:27" ht="14.25" customHeight="1" x14ac:dyDescent="0.15">
      <c r="A37" s="13" t="s">
        <v>11</v>
      </c>
      <c r="B37" s="12">
        <v>0.09</v>
      </c>
      <c r="C37" s="12"/>
      <c r="P37" s="8"/>
    </row>
    <row r="38" spans="1:27" ht="14.25" customHeight="1" x14ac:dyDescent="0.15">
      <c r="A38" s="13" t="s">
        <v>12</v>
      </c>
      <c r="B38" s="12">
        <v>0.01</v>
      </c>
      <c r="C38" s="12"/>
      <c r="P38" s="8"/>
    </row>
    <row r="39" spans="1:27" ht="18" customHeight="1" x14ac:dyDescent="0.2">
      <c r="A39" s="10"/>
      <c r="B39" s="10"/>
      <c r="C39" s="10">
        <f t="shared" ref="C39:O39" si="13">C40/$B$32</f>
        <v>1120547.2988912479</v>
      </c>
      <c r="D39" s="10">
        <f t="shared" si="13"/>
        <v>1179523.4725171032</v>
      </c>
      <c r="E39">
        <f t="shared" si="13"/>
        <v>1238499.6461429582</v>
      </c>
      <c r="F39">
        <f t="shared" si="13"/>
        <v>1297475.8197688134</v>
      </c>
      <c r="G39">
        <f t="shared" si="13"/>
        <v>1356451.9933946687</v>
      </c>
      <c r="H39">
        <f t="shared" si="13"/>
        <v>1415428.1670205237</v>
      </c>
      <c r="I39">
        <f t="shared" si="13"/>
        <v>1474404.3406463789</v>
      </c>
      <c r="J39">
        <f t="shared" si="13"/>
        <v>1533380.5142722342</v>
      </c>
      <c r="K39">
        <f t="shared" si="13"/>
        <v>1592356.6878980894</v>
      </c>
      <c r="L39">
        <f t="shared" si="13"/>
        <v>1651332.8615239442</v>
      </c>
      <c r="M39">
        <f t="shared" si="13"/>
        <v>1710309.0351497994</v>
      </c>
      <c r="N39">
        <f t="shared" si="13"/>
        <v>1769285.2087756547</v>
      </c>
      <c r="O39">
        <f t="shared" si="13"/>
        <v>1828261.3824015097</v>
      </c>
      <c r="P39" s="8"/>
    </row>
    <row r="40" spans="1:27" ht="18" customHeight="1" x14ac:dyDescent="0.2">
      <c r="A40" s="10" t="s">
        <v>24</v>
      </c>
      <c r="B40" s="14"/>
      <c r="C40" s="17">
        <f t="shared" ref="C40:O40" si="14">C30/C31</f>
        <v>35185.185185185182</v>
      </c>
      <c r="D40" s="17">
        <f t="shared" si="14"/>
        <v>37037.037037037036</v>
      </c>
      <c r="E40" s="17">
        <f t="shared" si="14"/>
        <v>38888.888888888883</v>
      </c>
      <c r="F40" s="17">
        <f t="shared" si="14"/>
        <v>40740.740740740737</v>
      </c>
      <c r="G40" s="17">
        <f t="shared" si="14"/>
        <v>42592.592592592591</v>
      </c>
      <c r="H40" s="17">
        <f t="shared" si="14"/>
        <v>44444.444444444438</v>
      </c>
      <c r="I40" s="17">
        <f t="shared" si="14"/>
        <v>46296.296296296292</v>
      </c>
      <c r="J40" s="17">
        <f t="shared" si="14"/>
        <v>48148.148148148146</v>
      </c>
      <c r="K40" s="17">
        <f t="shared" si="14"/>
        <v>50000</v>
      </c>
      <c r="L40" s="17">
        <f t="shared" si="14"/>
        <v>51851.851851851847</v>
      </c>
      <c r="M40" s="17">
        <f t="shared" si="14"/>
        <v>53703.703703703701</v>
      </c>
      <c r="N40" s="17">
        <f t="shared" si="14"/>
        <v>55555.555555555555</v>
      </c>
      <c r="O40" s="17">
        <f t="shared" si="14"/>
        <v>57407.407407407401</v>
      </c>
      <c r="P40" s="8" t="b">
        <f t="shared" ref="P40:P46" si="15">ROUND(O40,0)=ROUND(Q40,0)</f>
        <v>1</v>
      </c>
      <c r="Q40" s="72">
        <v>57407</v>
      </c>
      <c r="R40" s="16"/>
      <c r="T40" s="9"/>
      <c r="U40" s="9"/>
      <c r="V40" s="9"/>
      <c r="W40" s="9"/>
      <c r="X40" s="9"/>
      <c r="Y40" s="9"/>
      <c r="Z40" s="9"/>
      <c r="AA40" s="9"/>
    </row>
    <row r="41" spans="1:27" ht="18" customHeight="1" x14ac:dyDescent="0.2">
      <c r="A41" s="10" t="s">
        <v>25</v>
      </c>
      <c r="B41" s="14"/>
      <c r="C41" s="17">
        <f t="shared" ref="C41:O41" si="16">$B$33*C40</f>
        <v>3518.5185185185182</v>
      </c>
      <c r="D41" s="17">
        <f t="shared" si="16"/>
        <v>3703.7037037037039</v>
      </c>
      <c r="E41" s="17">
        <f t="shared" si="16"/>
        <v>3888.8888888888887</v>
      </c>
      <c r="F41" s="17">
        <f t="shared" si="16"/>
        <v>4074.0740740740739</v>
      </c>
      <c r="G41" s="17">
        <f t="shared" si="16"/>
        <v>4259.2592592592591</v>
      </c>
      <c r="H41" s="17">
        <f t="shared" si="16"/>
        <v>4444.4444444444443</v>
      </c>
      <c r="I41" s="17">
        <f t="shared" si="16"/>
        <v>4629.6296296296296</v>
      </c>
      <c r="J41" s="17">
        <f t="shared" si="16"/>
        <v>4814.8148148148148</v>
      </c>
      <c r="K41" s="17">
        <f t="shared" si="16"/>
        <v>5000</v>
      </c>
      <c r="L41" s="17">
        <f t="shared" si="16"/>
        <v>5185.1851851851852</v>
      </c>
      <c r="M41" s="17">
        <f t="shared" si="16"/>
        <v>5370.3703703703704</v>
      </c>
      <c r="N41" s="17">
        <f t="shared" si="16"/>
        <v>5555.5555555555557</v>
      </c>
      <c r="O41" s="17">
        <f t="shared" si="16"/>
        <v>5740.7407407407409</v>
      </c>
      <c r="P41" s="8" t="b">
        <f t="shared" si="15"/>
        <v>1</v>
      </c>
      <c r="Q41" s="72">
        <v>5741</v>
      </c>
      <c r="R41" s="16"/>
      <c r="T41" s="9"/>
      <c r="U41" s="9"/>
      <c r="V41" s="9"/>
      <c r="W41" s="9"/>
      <c r="X41" s="9"/>
      <c r="Y41" s="9"/>
      <c r="Z41" s="9"/>
      <c r="AA41" s="9"/>
    </row>
    <row r="42" spans="1:27" ht="18" customHeight="1" x14ac:dyDescent="0.2">
      <c r="A42" s="10" t="s">
        <v>26</v>
      </c>
      <c r="B42" s="14"/>
      <c r="C42" s="17">
        <f t="shared" ref="C42:O42" si="17">$B$34*C41</f>
        <v>879.62962962962956</v>
      </c>
      <c r="D42" s="17">
        <f t="shared" si="17"/>
        <v>925.92592592592598</v>
      </c>
      <c r="E42" s="17">
        <f t="shared" si="17"/>
        <v>972.22222222222217</v>
      </c>
      <c r="F42" s="17">
        <f t="shared" si="17"/>
        <v>1018.5185185185185</v>
      </c>
      <c r="G42" s="17">
        <f t="shared" si="17"/>
        <v>1064.8148148148148</v>
      </c>
      <c r="H42" s="17">
        <f t="shared" si="17"/>
        <v>1111.1111111111111</v>
      </c>
      <c r="I42" s="17">
        <f t="shared" si="17"/>
        <v>1157.4074074074074</v>
      </c>
      <c r="J42" s="17">
        <f t="shared" si="17"/>
        <v>1203.7037037037037</v>
      </c>
      <c r="K42" s="17">
        <f t="shared" si="17"/>
        <v>1250</v>
      </c>
      <c r="L42" s="17">
        <f t="shared" si="17"/>
        <v>1296.2962962962963</v>
      </c>
      <c r="M42" s="17">
        <f t="shared" si="17"/>
        <v>1342.5925925925926</v>
      </c>
      <c r="N42" s="17">
        <f t="shared" si="17"/>
        <v>1388.8888888888889</v>
      </c>
      <c r="O42" s="17">
        <f t="shared" si="17"/>
        <v>1435.1851851851852</v>
      </c>
      <c r="P42" s="8" t="b">
        <f t="shared" si="15"/>
        <v>1</v>
      </c>
      <c r="Q42" s="72">
        <v>1435</v>
      </c>
      <c r="R42" s="16"/>
      <c r="T42" s="9"/>
      <c r="U42" s="9"/>
      <c r="V42" s="9"/>
      <c r="W42" s="9"/>
      <c r="X42" s="9"/>
      <c r="Y42" s="9"/>
      <c r="Z42" s="9"/>
      <c r="AA42" s="9"/>
    </row>
    <row r="43" spans="1:27" ht="18" customHeight="1" x14ac:dyDescent="0.2">
      <c r="A43" s="13" t="s">
        <v>23</v>
      </c>
      <c r="B43" s="14"/>
      <c r="C43" s="17">
        <f t="shared" ref="C43:O43" si="18">$B$35*C42</f>
        <v>571.75925925925924</v>
      </c>
      <c r="D43" s="17">
        <f t="shared" si="18"/>
        <v>601.85185185185196</v>
      </c>
      <c r="E43" s="17">
        <f t="shared" si="18"/>
        <v>631.94444444444446</v>
      </c>
      <c r="F43" s="17">
        <f t="shared" si="18"/>
        <v>662.03703703703707</v>
      </c>
      <c r="G43" s="17">
        <f t="shared" si="18"/>
        <v>692.12962962962968</v>
      </c>
      <c r="H43" s="17">
        <f t="shared" si="18"/>
        <v>722.22222222222229</v>
      </c>
      <c r="I43" s="17">
        <f t="shared" si="18"/>
        <v>752.31481481481478</v>
      </c>
      <c r="J43" s="17">
        <f t="shared" si="18"/>
        <v>782.40740740740739</v>
      </c>
      <c r="K43" s="17">
        <f t="shared" si="18"/>
        <v>812.5</v>
      </c>
      <c r="L43" s="17">
        <f t="shared" si="18"/>
        <v>842.59259259259261</v>
      </c>
      <c r="M43" s="17">
        <f t="shared" si="18"/>
        <v>872.68518518518522</v>
      </c>
      <c r="N43" s="17">
        <f t="shared" si="18"/>
        <v>902.77777777777783</v>
      </c>
      <c r="O43" s="17">
        <f t="shared" si="18"/>
        <v>932.87037037037044</v>
      </c>
      <c r="P43" s="8" t="b">
        <f t="shared" si="15"/>
        <v>1</v>
      </c>
      <c r="Q43" s="71">
        <v>933</v>
      </c>
      <c r="R43" s="9"/>
      <c r="T43" s="19"/>
      <c r="U43" s="9"/>
      <c r="V43" s="9"/>
      <c r="W43" s="9"/>
      <c r="X43" s="9"/>
      <c r="Y43" s="9"/>
      <c r="Z43" s="9"/>
      <c r="AA43" s="9"/>
    </row>
    <row r="44" spans="1:27" ht="18" customHeight="1" x14ac:dyDescent="0.2">
      <c r="A44" s="13" t="s">
        <v>10</v>
      </c>
      <c r="B44" s="14"/>
      <c r="C44" s="17">
        <f t="shared" ref="C44:O44" si="19">$B$36*C42</f>
        <v>219.90740740740739</v>
      </c>
      <c r="D44" s="17">
        <f t="shared" si="19"/>
        <v>231.4814814814815</v>
      </c>
      <c r="E44" s="17">
        <f t="shared" si="19"/>
        <v>243.05555555555554</v>
      </c>
      <c r="F44" s="17">
        <f t="shared" si="19"/>
        <v>254.62962962962962</v>
      </c>
      <c r="G44" s="17">
        <f t="shared" si="19"/>
        <v>266.2037037037037</v>
      </c>
      <c r="H44" s="17">
        <f t="shared" si="19"/>
        <v>277.77777777777777</v>
      </c>
      <c r="I44" s="17">
        <f t="shared" si="19"/>
        <v>289.35185185185185</v>
      </c>
      <c r="J44" s="17">
        <f t="shared" si="19"/>
        <v>300.92592592592592</v>
      </c>
      <c r="K44" s="17">
        <f t="shared" si="19"/>
        <v>312.5</v>
      </c>
      <c r="L44" s="17">
        <f t="shared" si="19"/>
        <v>324.07407407407408</v>
      </c>
      <c r="M44" s="17">
        <f t="shared" si="19"/>
        <v>335.64814814814815</v>
      </c>
      <c r="N44" s="17">
        <f t="shared" si="19"/>
        <v>347.22222222222223</v>
      </c>
      <c r="O44" s="17">
        <f t="shared" si="19"/>
        <v>358.7962962962963</v>
      </c>
      <c r="P44" s="8" t="b">
        <f t="shared" si="15"/>
        <v>1</v>
      </c>
      <c r="Q44" s="71">
        <v>359</v>
      </c>
      <c r="R44" s="9"/>
      <c r="T44" s="19"/>
      <c r="U44" s="9"/>
      <c r="V44" s="9"/>
      <c r="W44" s="9"/>
      <c r="X44" s="9"/>
      <c r="Y44" s="9"/>
      <c r="Z44" s="9"/>
      <c r="AA44" s="9"/>
    </row>
    <row r="45" spans="1:27" ht="18" customHeight="1" x14ac:dyDescent="0.2">
      <c r="A45" s="13" t="s">
        <v>11</v>
      </c>
      <c r="B45" s="14"/>
      <c r="C45" s="17">
        <f t="shared" ref="C45:O45" si="20">$B$37*C42</f>
        <v>79.166666666666657</v>
      </c>
      <c r="D45" s="17">
        <f t="shared" si="20"/>
        <v>83.333333333333329</v>
      </c>
      <c r="E45" s="17">
        <f t="shared" si="20"/>
        <v>87.499999999999986</v>
      </c>
      <c r="F45" s="17">
        <f t="shared" si="20"/>
        <v>91.666666666666657</v>
      </c>
      <c r="G45" s="17">
        <f t="shared" si="20"/>
        <v>95.833333333333329</v>
      </c>
      <c r="H45" s="17">
        <f t="shared" si="20"/>
        <v>100</v>
      </c>
      <c r="I45" s="17">
        <f t="shared" si="20"/>
        <v>104.16666666666666</v>
      </c>
      <c r="J45" s="17">
        <f t="shared" si="20"/>
        <v>108.33333333333333</v>
      </c>
      <c r="K45" s="17">
        <f t="shared" si="20"/>
        <v>112.5</v>
      </c>
      <c r="L45" s="17">
        <f t="shared" si="20"/>
        <v>116.66666666666666</v>
      </c>
      <c r="M45" s="17">
        <f t="shared" si="20"/>
        <v>120.83333333333333</v>
      </c>
      <c r="N45" s="17">
        <f t="shared" si="20"/>
        <v>125</v>
      </c>
      <c r="O45" s="17">
        <f t="shared" si="20"/>
        <v>129.16666666666666</v>
      </c>
      <c r="P45" s="8" t="b">
        <f t="shared" si="15"/>
        <v>1</v>
      </c>
      <c r="Q45" s="71">
        <v>129</v>
      </c>
      <c r="R45" s="9"/>
      <c r="T45" s="19"/>
      <c r="U45" s="9"/>
      <c r="V45" s="9"/>
      <c r="W45" s="9"/>
      <c r="X45" s="9"/>
      <c r="Y45" s="9"/>
      <c r="Z45" s="9"/>
      <c r="AA45" s="9"/>
    </row>
    <row r="46" spans="1:27" ht="18" customHeight="1" x14ac:dyDescent="0.2">
      <c r="A46" s="13" t="s">
        <v>12</v>
      </c>
      <c r="B46" s="14"/>
      <c r="C46" s="17">
        <f t="shared" ref="C46:O46" si="21">C42-SUM(C43:C45)</f>
        <v>8.7962962962963047</v>
      </c>
      <c r="D46" s="17">
        <f t="shared" si="21"/>
        <v>9.2592592592591245</v>
      </c>
      <c r="E46" s="17">
        <f t="shared" si="21"/>
        <v>9.7222222222221717</v>
      </c>
      <c r="F46" s="17">
        <f t="shared" si="21"/>
        <v>10.185185185185105</v>
      </c>
      <c r="G46" s="17">
        <f t="shared" si="21"/>
        <v>10.648148148148039</v>
      </c>
      <c r="H46" s="17">
        <f t="shared" si="21"/>
        <v>11.111111111111086</v>
      </c>
      <c r="I46" s="17">
        <f t="shared" si="21"/>
        <v>11.574074074074133</v>
      </c>
      <c r="J46" s="17">
        <f t="shared" si="21"/>
        <v>12.03703703703718</v>
      </c>
      <c r="K46" s="17">
        <f t="shared" si="21"/>
        <v>12.5</v>
      </c>
      <c r="L46" s="17">
        <f t="shared" si="21"/>
        <v>12.96296296296282</v>
      </c>
      <c r="M46" s="17">
        <f t="shared" si="21"/>
        <v>13.425925925925867</v>
      </c>
      <c r="N46" s="17">
        <f t="shared" si="21"/>
        <v>13.888888888888914</v>
      </c>
      <c r="O46" s="17">
        <f t="shared" si="21"/>
        <v>14.351851851851734</v>
      </c>
      <c r="P46" s="8" t="b">
        <f t="shared" si="15"/>
        <v>1</v>
      </c>
      <c r="Q46" s="71">
        <v>14</v>
      </c>
      <c r="R46" s="9"/>
      <c r="T46" s="19"/>
      <c r="U46" s="9"/>
      <c r="V46" s="9"/>
      <c r="W46" s="9"/>
      <c r="X46" s="9"/>
      <c r="Y46" s="9"/>
      <c r="Z46" s="9"/>
      <c r="AA46" s="9"/>
    </row>
    <row r="47" spans="1:27" ht="18" customHeight="1" x14ac:dyDescent="0.2">
      <c r="A47" s="10"/>
      <c r="B47" s="10"/>
      <c r="C47" s="10"/>
      <c r="D47" s="10"/>
      <c r="P47" s="8"/>
    </row>
    <row r="48" spans="1:27" ht="18" customHeight="1" x14ac:dyDescent="0.2">
      <c r="A48" s="6" t="s">
        <v>27</v>
      </c>
      <c r="B48" s="27"/>
      <c r="C48" s="27"/>
      <c r="D48" s="2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8"/>
    </row>
    <row r="49" spans="1:16" ht="18" customHeight="1" x14ac:dyDescent="0.2">
      <c r="A49" s="10" t="s">
        <v>28</v>
      </c>
      <c r="B49" s="28">
        <v>2.9000000000000001E-2</v>
      </c>
      <c r="C49" s="28"/>
      <c r="P49" s="8"/>
    </row>
    <row r="50" spans="1:16" ht="18" customHeight="1" x14ac:dyDescent="0.2">
      <c r="A50" s="10" t="s">
        <v>29</v>
      </c>
      <c r="B50" s="25">
        <v>0.3</v>
      </c>
      <c r="C50" s="25"/>
      <c r="P50" s="8"/>
    </row>
    <row r="51" spans="1:16" ht="18" customHeight="1" x14ac:dyDescent="0.2">
      <c r="A51" s="10"/>
      <c r="B51" s="10"/>
      <c r="C51" s="10"/>
      <c r="D51" s="10"/>
      <c r="P51" s="8"/>
    </row>
    <row r="52" spans="1:16" ht="18" customHeight="1" x14ac:dyDescent="0.2">
      <c r="A52" s="6" t="s">
        <v>30</v>
      </c>
      <c r="B52" s="27"/>
      <c r="C52" s="27"/>
      <c r="D52" s="2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8"/>
    </row>
    <row r="53" spans="1:16" ht="18" customHeight="1" x14ac:dyDescent="0.2">
      <c r="A53" s="10" t="s">
        <v>31</v>
      </c>
      <c r="B53" s="29">
        <v>5</v>
      </c>
      <c r="C53" s="29"/>
      <c r="P53" s="8"/>
    </row>
    <row r="54" spans="1:16" ht="18" customHeight="1" x14ac:dyDescent="0.2">
      <c r="A54" s="10" t="s">
        <v>32</v>
      </c>
      <c r="B54" s="29">
        <v>10</v>
      </c>
      <c r="C54" s="29"/>
      <c r="P54" s="8"/>
    </row>
    <row r="55" spans="1:16" ht="18" customHeight="1" x14ac:dyDescent="0.2">
      <c r="A55" s="10" t="s">
        <v>33</v>
      </c>
      <c r="B55" s="29">
        <v>15</v>
      </c>
      <c r="C55" s="29"/>
      <c r="P55" s="8"/>
    </row>
    <row r="56" spans="1:16" ht="18" customHeight="1" x14ac:dyDescent="0.2">
      <c r="A56" s="10" t="s">
        <v>34</v>
      </c>
      <c r="B56" s="29">
        <v>23</v>
      </c>
      <c r="C56" s="29"/>
      <c r="P56" s="8"/>
    </row>
    <row r="57" spans="1:16" ht="18" customHeight="1" x14ac:dyDescent="0.2">
      <c r="B57" s="10"/>
      <c r="C57" s="10"/>
      <c r="D57" s="10"/>
      <c r="P57" s="8"/>
    </row>
    <row r="58" spans="1:16" ht="18" customHeight="1" x14ac:dyDescent="0.2">
      <c r="A58" s="6" t="s">
        <v>35</v>
      </c>
      <c r="B58" s="27"/>
      <c r="C58" s="27"/>
      <c r="D58" s="2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8"/>
    </row>
    <row r="59" spans="1:16" ht="18" customHeight="1" x14ac:dyDescent="0.2">
      <c r="A59" s="10" t="s">
        <v>36</v>
      </c>
      <c r="B59" s="29">
        <v>0</v>
      </c>
      <c r="C59" s="10"/>
      <c r="P59" s="8"/>
    </row>
    <row r="60" spans="1:16" ht="18" customHeight="1" x14ac:dyDescent="0.2">
      <c r="A60" s="10" t="s">
        <v>37</v>
      </c>
      <c r="B60" s="29">
        <v>100</v>
      </c>
      <c r="C60" s="10"/>
      <c r="P60" s="8"/>
    </row>
    <row r="61" spans="1:16" ht="18" customHeight="1" x14ac:dyDescent="0.2">
      <c r="A61" s="10" t="s">
        <v>38</v>
      </c>
      <c r="B61" s="29">
        <v>250</v>
      </c>
      <c r="C61" s="10"/>
      <c r="P61" s="8"/>
    </row>
    <row r="62" spans="1:16" ht="18" customHeight="1" x14ac:dyDescent="0.2">
      <c r="A62" s="10" t="s">
        <v>39</v>
      </c>
      <c r="B62" s="29">
        <v>500</v>
      </c>
      <c r="C62" s="10"/>
      <c r="P62" s="8"/>
    </row>
    <row r="63" spans="1:16" ht="18" customHeight="1" x14ac:dyDescent="0.2">
      <c r="B63" s="10"/>
      <c r="C63" s="10"/>
      <c r="D63" s="10"/>
      <c r="P63" s="8"/>
    </row>
    <row r="64" spans="1:16" ht="18" customHeight="1" x14ac:dyDescent="0.2">
      <c r="A64" s="6" t="s">
        <v>40</v>
      </c>
      <c r="B64" s="27"/>
      <c r="C64" s="27"/>
      <c r="D64" s="2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8"/>
    </row>
    <row r="65" spans="1:18" ht="18" customHeight="1" x14ac:dyDescent="0.2">
      <c r="A65" s="30" t="s">
        <v>41</v>
      </c>
      <c r="B65" s="10"/>
      <c r="C65" s="10">
        <f t="shared" ref="C65:O65" si="22">C107</f>
        <v>8561</v>
      </c>
      <c r="D65" s="10">
        <f t="shared" si="22"/>
        <v>2283.9592592592589</v>
      </c>
      <c r="E65">
        <f t="shared" si="22"/>
        <v>1058.6437037037037</v>
      </c>
      <c r="F65">
        <f t="shared" si="22"/>
        <v>843.67318518518516</v>
      </c>
      <c r="G65">
        <f t="shared" si="22"/>
        <v>830.7716740740741</v>
      </c>
      <c r="H65">
        <f t="shared" si="22"/>
        <v>858.28396444444445</v>
      </c>
      <c r="I65">
        <f t="shared" si="22"/>
        <v>893.87901511111113</v>
      </c>
      <c r="J65">
        <f t="shared" si="22"/>
        <v>931.09061783703692</v>
      </c>
      <c r="K65">
        <f t="shared" si="22"/>
        <v>968.62553097481475</v>
      </c>
      <c r="L65">
        <f t="shared" si="22"/>
        <v>1006.2251061949629</v>
      </c>
      <c r="M65">
        <f t="shared" si="22"/>
        <v>1043.8376138315853</v>
      </c>
      <c r="N65">
        <f t="shared" si="22"/>
        <v>1081.4527079515024</v>
      </c>
      <c r="O65">
        <f t="shared" si="22"/>
        <v>1119.0683193680784</v>
      </c>
      <c r="P65" s="8"/>
    </row>
    <row r="66" spans="1:18" ht="18" customHeight="1" x14ac:dyDescent="0.2">
      <c r="A66" s="10" t="s">
        <v>42</v>
      </c>
      <c r="B66" s="11">
        <v>0.5</v>
      </c>
      <c r="C66" s="17">
        <f t="shared" ref="C66:O66" si="23">$B$66*C65</f>
        <v>4280.5</v>
      </c>
      <c r="D66" s="17">
        <f t="shared" si="23"/>
        <v>1141.9796296296295</v>
      </c>
      <c r="E66" s="17">
        <f t="shared" si="23"/>
        <v>529.32185185185187</v>
      </c>
      <c r="F66" s="17">
        <f t="shared" si="23"/>
        <v>421.83659259259258</v>
      </c>
      <c r="G66" s="17">
        <f t="shared" si="23"/>
        <v>415.38583703703705</v>
      </c>
      <c r="H66" s="17">
        <f t="shared" si="23"/>
        <v>429.14198222222223</v>
      </c>
      <c r="I66" s="17">
        <f t="shared" si="23"/>
        <v>446.93950755555556</v>
      </c>
      <c r="J66" s="17">
        <f t="shared" si="23"/>
        <v>465.54530891851846</v>
      </c>
      <c r="K66" s="17">
        <f t="shared" si="23"/>
        <v>484.31276548740738</v>
      </c>
      <c r="L66" s="17">
        <f t="shared" si="23"/>
        <v>503.11255309748145</v>
      </c>
      <c r="M66" s="17">
        <f t="shared" si="23"/>
        <v>521.91880691579263</v>
      </c>
      <c r="N66" s="17">
        <f t="shared" si="23"/>
        <v>540.72635397575118</v>
      </c>
      <c r="O66" s="17">
        <f t="shared" si="23"/>
        <v>559.5341596840392</v>
      </c>
      <c r="P66" s="8" t="b">
        <f>ROUND(O66,0)=ROUND(Q66,0)</f>
        <v>1</v>
      </c>
      <c r="Q66" s="71">
        <v>560</v>
      </c>
    </row>
    <row r="67" spans="1:18" ht="18" customHeight="1" x14ac:dyDescent="0.2">
      <c r="A67" s="10" t="s">
        <v>43</v>
      </c>
      <c r="B67" s="11">
        <v>0.2</v>
      </c>
      <c r="C67" s="17">
        <f t="shared" ref="C67:O67" si="24">$B$67*C66</f>
        <v>856.1</v>
      </c>
      <c r="D67" s="17">
        <f t="shared" si="24"/>
        <v>228.39592592592589</v>
      </c>
      <c r="E67" s="17">
        <f t="shared" si="24"/>
        <v>105.86437037037038</v>
      </c>
      <c r="F67" s="17">
        <f t="shared" si="24"/>
        <v>84.367318518518516</v>
      </c>
      <c r="G67" s="17">
        <f t="shared" si="24"/>
        <v>83.077167407407416</v>
      </c>
      <c r="H67" s="17">
        <f t="shared" si="24"/>
        <v>85.828396444444451</v>
      </c>
      <c r="I67" s="17">
        <f t="shared" si="24"/>
        <v>89.387901511111124</v>
      </c>
      <c r="J67" s="17">
        <f t="shared" si="24"/>
        <v>93.109061783703694</v>
      </c>
      <c r="K67" s="17">
        <f t="shared" si="24"/>
        <v>96.862553097481481</v>
      </c>
      <c r="L67" s="17">
        <f t="shared" si="24"/>
        <v>100.6225106194963</v>
      </c>
      <c r="M67" s="17">
        <f t="shared" si="24"/>
        <v>104.38376138315853</v>
      </c>
      <c r="N67" s="17">
        <f t="shared" si="24"/>
        <v>108.14527079515024</v>
      </c>
      <c r="O67" s="17">
        <f t="shared" si="24"/>
        <v>111.90683193680785</v>
      </c>
      <c r="P67" s="8" t="b">
        <f>ROUND(O67,0)=ROUND(Q67,0)</f>
        <v>1</v>
      </c>
      <c r="Q67" s="71">
        <v>112</v>
      </c>
    </row>
    <row r="68" spans="1:18" ht="14.25" customHeight="1" x14ac:dyDescent="0.15">
      <c r="A68" s="13" t="s">
        <v>10</v>
      </c>
      <c r="B68" s="12">
        <v>0.8</v>
      </c>
      <c r="C68" s="17">
        <f t="shared" ref="C68:O68" si="25">$B$68*C67</f>
        <v>684.88000000000011</v>
      </c>
      <c r="D68" s="17">
        <f t="shared" si="25"/>
        <v>182.71674074074073</v>
      </c>
      <c r="E68" s="17">
        <f t="shared" si="25"/>
        <v>84.691496296296307</v>
      </c>
      <c r="F68" s="17">
        <f t="shared" si="25"/>
        <v>67.49385481481481</v>
      </c>
      <c r="G68" s="17">
        <f t="shared" si="25"/>
        <v>66.461733925925941</v>
      </c>
      <c r="H68" s="17">
        <f t="shared" si="25"/>
        <v>68.662717155555569</v>
      </c>
      <c r="I68" s="17">
        <f t="shared" si="25"/>
        <v>71.510321208888897</v>
      </c>
      <c r="J68" s="17">
        <f t="shared" si="25"/>
        <v>74.487249426962961</v>
      </c>
      <c r="K68" s="17">
        <f t="shared" si="25"/>
        <v>77.490042477985185</v>
      </c>
      <c r="L68" s="17">
        <f t="shared" si="25"/>
        <v>80.498008495597048</v>
      </c>
      <c r="M68" s="17">
        <f t="shared" si="25"/>
        <v>83.507009106526823</v>
      </c>
      <c r="N68" s="17">
        <f t="shared" si="25"/>
        <v>86.516216636120191</v>
      </c>
      <c r="O68" s="17">
        <f t="shared" si="25"/>
        <v>89.525465549446281</v>
      </c>
      <c r="P68" s="8" t="b">
        <f>ROUND(O68,0)=ROUND(Q68,0)</f>
        <v>1</v>
      </c>
      <c r="Q68" s="71">
        <v>90</v>
      </c>
    </row>
    <row r="69" spans="1:18" ht="14.25" customHeight="1" x14ac:dyDescent="0.15">
      <c r="A69" s="13" t="s">
        <v>11</v>
      </c>
      <c r="B69" s="12">
        <v>0.18</v>
      </c>
      <c r="C69" s="17">
        <f t="shared" ref="C69:O69" si="26">$B$69*C67</f>
        <v>154.09799999999998</v>
      </c>
      <c r="D69" s="17">
        <f t="shared" si="26"/>
        <v>41.111266666666658</v>
      </c>
      <c r="E69" s="17">
        <f t="shared" si="26"/>
        <v>19.055586666666667</v>
      </c>
      <c r="F69" s="17">
        <f t="shared" si="26"/>
        <v>15.186117333333332</v>
      </c>
      <c r="G69" s="17">
        <f t="shared" si="26"/>
        <v>14.953890133333335</v>
      </c>
      <c r="H69" s="17">
        <f t="shared" si="26"/>
        <v>15.44911136</v>
      </c>
      <c r="I69" s="17">
        <f t="shared" si="26"/>
        <v>16.089822272000003</v>
      </c>
      <c r="J69" s="17">
        <f t="shared" si="26"/>
        <v>16.759631121066665</v>
      </c>
      <c r="K69" s="17">
        <f t="shared" si="26"/>
        <v>17.435259557546665</v>
      </c>
      <c r="L69" s="17">
        <f t="shared" si="26"/>
        <v>18.112051911509333</v>
      </c>
      <c r="M69" s="17">
        <f t="shared" si="26"/>
        <v>18.789077048968533</v>
      </c>
      <c r="N69" s="17">
        <f t="shared" si="26"/>
        <v>19.466148743127043</v>
      </c>
      <c r="O69" s="17">
        <f t="shared" si="26"/>
        <v>20.143229748625412</v>
      </c>
      <c r="P69" s="8" t="b">
        <f>ROUND(O69,0)=ROUND(Q69,0)</f>
        <v>1</v>
      </c>
      <c r="Q69" s="71">
        <v>20</v>
      </c>
    </row>
    <row r="70" spans="1:18" ht="14.25" customHeight="1" x14ac:dyDescent="0.15">
      <c r="A70" s="13" t="s">
        <v>12</v>
      </c>
      <c r="B70" s="12">
        <v>0.02</v>
      </c>
      <c r="C70" s="17">
        <f t="shared" ref="C70:O70" si="27">$B$70*C67</f>
        <v>17.122</v>
      </c>
      <c r="D70" s="17">
        <f t="shared" si="27"/>
        <v>4.5679185185185176</v>
      </c>
      <c r="E70" s="17">
        <f t="shared" si="27"/>
        <v>2.1172874074074075</v>
      </c>
      <c r="F70" s="17">
        <f t="shared" si="27"/>
        <v>1.6873463703703704</v>
      </c>
      <c r="G70" s="17">
        <f t="shared" si="27"/>
        <v>1.6615433481481483</v>
      </c>
      <c r="H70" s="17">
        <f t="shared" si="27"/>
        <v>1.7165679288888891</v>
      </c>
      <c r="I70" s="17">
        <f t="shared" si="27"/>
        <v>1.7877580302222225</v>
      </c>
      <c r="J70" s="17">
        <f t="shared" si="27"/>
        <v>1.8621812356740739</v>
      </c>
      <c r="K70" s="17">
        <f t="shared" si="27"/>
        <v>1.9372510619496297</v>
      </c>
      <c r="L70" s="17">
        <f t="shared" si="27"/>
        <v>2.0124502123899259</v>
      </c>
      <c r="M70" s="17">
        <f t="shared" si="27"/>
        <v>2.0876752276631705</v>
      </c>
      <c r="N70" s="17">
        <f t="shared" si="27"/>
        <v>2.1629054159030048</v>
      </c>
      <c r="O70" s="17">
        <f t="shared" si="27"/>
        <v>2.2381366387361572</v>
      </c>
      <c r="P70" s="8" t="b">
        <f>ROUND(O70,0)=ROUND(Q70,0)</f>
        <v>1</v>
      </c>
      <c r="Q70" s="71">
        <v>2</v>
      </c>
    </row>
    <row r="71" spans="1:18" ht="18" customHeight="1" x14ac:dyDescent="0.2">
      <c r="A71" s="30" t="s">
        <v>44</v>
      </c>
      <c r="B71" s="10"/>
      <c r="C71" s="10">
        <f t="shared" ref="C71:O71" si="28">C124</f>
        <v>6961</v>
      </c>
      <c r="D71">
        <f t="shared" si="28"/>
        <v>6519.2606250074077</v>
      </c>
      <c r="E71">
        <f t="shared" si="28"/>
        <v>5507.7904272734286</v>
      </c>
      <c r="F71">
        <f t="shared" si="28"/>
        <v>4623.779735281274</v>
      </c>
      <c r="G71">
        <f t="shared" si="28"/>
        <v>3939.4520667535498</v>
      </c>
      <c r="H71">
        <f t="shared" si="28"/>
        <v>3424.1917496132214</v>
      </c>
      <c r="I71">
        <f t="shared" si="28"/>
        <v>3040.2565057531965</v>
      </c>
      <c r="J71">
        <f t="shared" si="28"/>
        <v>2757.1512490094469</v>
      </c>
      <c r="K71">
        <f t="shared" si="28"/>
        <v>2551.7182500069821</v>
      </c>
      <c r="L71">
        <f t="shared" si="28"/>
        <v>2406.4277637582722</v>
      </c>
      <c r="M71">
        <f t="shared" si="28"/>
        <v>2307.9057026353721</v>
      </c>
      <c r="N71">
        <f t="shared" si="28"/>
        <v>2245.865374216532</v>
      </c>
      <c r="O71">
        <f t="shared" si="28"/>
        <v>2212.3446875699351</v>
      </c>
      <c r="P71" s="8"/>
    </row>
    <row r="72" spans="1:18" ht="18" customHeight="1" x14ac:dyDescent="0.2">
      <c r="A72" s="10" t="s">
        <v>42</v>
      </c>
      <c r="B72" s="11">
        <v>0.3</v>
      </c>
      <c r="C72" s="17">
        <f t="shared" ref="C72:O72" si="29">$B$72*C71</f>
        <v>2088.2999999999997</v>
      </c>
      <c r="D72" s="17">
        <f t="shared" si="29"/>
        <v>1955.7781875022222</v>
      </c>
      <c r="E72" s="17">
        <f t="shared" si="29"/>
        <v>1652.3371281820284</v>
      </c>
      <c r="F72" s="17">
        <f t="shared" si="29"/>
        <v>1387.1339205843822</v>
      </c>
      <c r="G72" s="17">
        <f t="shared" si="29"/>
        <v>1181.8356200260648</v>
      </c>
      <c r="H72" s="17">
        <f t="shared" si="29"/>
        <v>1027.2575248839664</v>
      </c>
      <c r="I72" s="17">
        <f t="shared" si="29"/>
        <v>912.07695172595891</v>
      </c>
      <c r="J72" s="17">
        <f t="shared" si="29"/>
        <v>827.14537470283403</v>
      </c>
      <c r="K72" s="17">
        <f t="shared" si="29"/>
        <v>765.5154750020946</v>
      </c>
      <c r="L72" s="17">
        <f t="shared" si="29"/>
        <v>721.92832912748167</v>
      </c>
      <c r="M72" s="17">
        <f t="shared" si="29"/>
        <v>692.37171079061159</v>
      </c>
      <c r="N72" s="17">
        <f t="shared" si="29"/>
        <v>673.75961226495963</v>
      </c>
      <c r="O72" s="17">
        <f t="shared" si="29"/>
        <v>663.70340627098051</v>
      </c>
      <c r="P72" s="8" t="b">
        <f>ROUND(O72,0)=ROUND(Q72,0)</f>
        <v>1</v>
      </c>
      <c r="Q72" s="71">
        <v>664</v>
      </c>
    </row>
    <row r="73" spans="1:18" ht="18" customHeight="1" x14ac:dyDescent="0.2">
      <c r="A73" s="10" t="s">
        <v>43</v>
      </c>
      <c r="B73" s="11">
        <v>0.4</v>
      </c>
      <c r="C73" s="17">
        <f t="shared" ref="C73:O73" si="30">$B$73*C72</f>
        <v>835.31999999999994</v>
      </c>
      <c r="D73" s="17">
        <f t="shared" si="30"/>
        <v>782.31127500088894</v>
      </c>
      <c r="E73" s="17">
        <f t="shared" si="30"/>
        <v>660.93485127281144</v>
      </c>
      <c r="F73" s="17">
        <f t="shared" si="30"/>
        <v>554.85356823375287</v>
      </c>
      <c r="G73" s="17">
        <f t="shared" si="30"/>
        <v>472.73424801042597</v>
      </c>
      <c r="H73" s="17">
        <f t="shared" si="30"/>
        <v>410.9030099535866</v>
      </c>
      <c r="I73" s="17">
        <f t="shared" si="30"/>
        <v>364.83078069038356</v>
      </c>
      <c r="J73" s="17">
        <f t="shared" si="30"/>
        <v>330.85814988113361</v>
      </c>
      <c r="K73" s="17">
        <f t="shared" si="30"/>
        <v>306.20619000083786</v>
      </c>
      <c r="L73" s="17">
        <f t="shared" si="30"/>
        <v>288.77133165099269</v>
      </c>
      <c r="M73" s="17">
        <f t="shared" si="30"/>
        <v>276.94868431624462</v>
      </c>
      <c r="N73" s="17">
        <f t="shared" si="30"/>
        <v>269.50384490598384</v>
      </c>
      <c r="O73" s="17">
        <f t="shared" si="30"/>
        <v>265.48136250839224</v>
      </c>
      <c r="P73" s="8" t="b">
        <f>ROUND(O73,0)=ROUND(Q73,0)</f>
        <v>1</v>
      </c>
      <c r="Q73" s="71">
        <v>265</v>
      </c>
    </row>
    <row r="74" spans="1:18" ht="14.25" customHeight="1" x14ac:dyDescent="0.15">
      <c r="A74" s="13" t="s">
        <v>11</v>
      </c>
      <c r="B74" s="12">
        <v>0.95</v>
      </c>
      <c r="C74" s="17">
        <f t="shared" ref="C74:O74" si="31">$B$74*C73</f>
        <v>793.55399999999986</v>
      </c>
      <c r="D74" s="17">
        <f t="shared" si="31"/>
        <v>743.19571125084451</v>
      </c>
      <c r="E74" s="17">
        <f t="shared" si="31"/>
        <v>627.88810870917087</v>
      </c>
      <c r="F74" s="17">
        <f t="shared" si="31"/>
        <v>527.11088982206525</v>
      </c>
      <c r="G74" s="17">
        <f t="shared" si="31"/>
        <v>449.09753560990464</v>
      </c>
      <c r="H74" s="17">
        <f t="shared" si="31"/>
        <v>390.35785945590726</v>
      </c>
      <c r="I74" s="17">
        <f t="shared" si="31"/>
        <v>346.58924165586438</v>
      </c>
      <c r="J74" s="17">
        <f t="shared" si="31"/>
        <v>314.31524238707692</v>
      </c>
      <c r="K74" s="17">
        <f t="shared" si="31"/>
        <v>290.89588050079595</v>
      </c>
      <c r="L74" s="17">
        <f t="shared" si="31"/>
        <v>274.33276506844305</v>
      </c>
      <c r="M74" s="17">
        <f t="shared" si="31"/>
        <v>263.10125010043237</v>
      </c>
      <c r="N74" s="17">
        <f t="shared" si="31"/>
        <v>256.02865266068466</v>
      </c>
      <c r="O74" s="17">
        <f t="shared" si="31"/>
        <v>252.20729438297261</v>
      </c>
      <c r="P74" s="8" t="b">
        <f>ROUND(O74,0)=ROUND(Q74,0)</f>
        <v>1</v>
      </c>
      <c r="Q74" s="71">
        <v>252</v>
      </c>
    </row>
    <row r="75" spans="1:18" ht="14.25" customHeight="1" x14ac:dyDescent="0.15">
      <c r="A75" s="13" t="s">
        <v>12</v>
      </c>
      <c r="B75" s="12">
        <v>0.05</v>
      </c>
      <c r="C75" s="17">
        <f t="shared" ref="C75:O75" si="32">$B$75*C73</f>
        <v>41.765999999999998</v>
      </c>
      <c r="D75" s="17">
        <f t="shared" si="32"/>
        <v>39.115563750044451</v>
      </c>
      <c r="E75" s="17">
        <f t="shared" si="32"/>
        <v>33.046742563640571</v>
      </c>
      <c r="F75" s="17">
        <f t="shared" si="32"/>
        <v>27.742678411687645</v>
      </c>
      <c r="G75" s="17">
        <f t="shared" si="32"/>
        <v>23.636712400521301</v>
      </c>
      <c r="H75" s="17">
        <f t="shared" si="32"/>
        <v>20.54515049767933</v>
      </c>
      <c r="I75" s="17">
        <f t="shared" si="32"/>
        <v>18.241539034519178</v>
      </c>
      <c r="J75" s="17">
        <f t="shared" si="32"/>
        <v>16.542907494056681</v>
      </c>
      <c r="K75" s="17">
        <f t="shared" si="32"/>
        <v>15.310309500041894</v>
      </c>
      <c r="L75" s="17">
        <f t="shared" si="32"/>
        <v>14.438566582549635</v>
      </c>
      <c r="M75" s="17">
        <f t="shared" si="32"/>
        <v>13.847434215812232</v>
      </c>
      <c r="N75" s="17">
        <f t="shared" si="32"/>
        <v>13.475192245299192</v>
      </c>
      <c r="O75" s="17">
        <f t="shared" si="32"/>
        <v>13.274068125419612</v>
      </c>
      <c r="P75" s="8" t="b">
        <f>ROUND(O75,0)=ROUND(Q75,0)</f>
        <v>1</v>
      </c>
      <c r="Q75" s="71">
        <v>13</v>
      </c>
    </row>
    <row r="76" spans="1:18" ht="18" customHeight="1" x14ac:dyDescent="0.2">
      <c r="A76" s="30" t="s">
        <v>45</v>
      </c>
      <c r="B76" s="10"/>
      <c r="C76" s="18">
        <f t="shared" ref="C76:O76" si="33">C125</f>
        <v>2037</v>
      </c>
      <c r="D76" s="18">
        <f t="shared" si="33"/>
        <v>2559.2292156266672</v>
      </c>
      <c r="E76" s="18">
        <f t="shared" si="33"/>
        <v>2523.9191463708421</v>
      </c>
      <c r="F76" s="18">
        <f t="shared" si="33"/>
        <v>2301.5687298662756</v>
      </c>
      <c r="G76" s="18">
        <f t="shared" si="33"/>
        <v>2042.6680984810916</v>
      </c>
      <c r="H76" s="18">
        <f t="shared" si="33"/>
        <v>1803.9637915383364</v>
      </c>
      <c r="I76" s="18">
        <f t="shared" si="33"/>
        <v>1603.2876047803454</v>
      </c>
      <c r="J76" s="18">
        <f t="shared" si="33"/>
        <v>1442.8201095781164</v>
      </c>
      <c r="K76" s="18">
        <f t="shared" si="33"/>
        <v>1318.903302622065</v>
      </c>
      <c r="L76" s="18">
        <f t="shared" si="33"/>
        <v>1226.1493211475033</v>
      </c>
      <c r="M76" s="18">
        <f t="shared" si="33"/>
        <v>1159.1129230555086</v>
      </c>
      <c r="N76" s="18">
        <f t="shared" si="33"/>
        <v>1112.9156819654193</v>
      </c>
      <c r="O76" s="18">
        <f t="shared" si="33"/>
        <v>1083.4208566820653</v>
      </c>
      <c r="P76" s="31"/>
    </row>
    <row r="77" spans="1:18" ht="18" customHeight="1" x14ac:dyDescent="0.2">
      <c r="A77" s="10" t="s">
        <v>42</v>
      </c>
      <c r="B77" s="11">
        <v>0.3</v>
      </c>
      <c r="C77" s="17">
        <f t="shared" ref="C77:O77" si="34">$B$77*C76</f>
        <v>611.1</v>
      </c>
      <c r="D77" s="17">
        <f t="shared" si="34"/>
        <v>767.76876468800015</v>
      </c>
      <c r="E77" s="17">
        <f t="shared" si="34"/>
        <v>757.17574391125265</v>
      </c>
      <c r="F77" s="17">
        <f t="shared" si="34"/>
        <v>690.4706189598827</v>
      </c>
      <c r="G77" s="17">
        <f t="shared" si="34"/>
        <v>612.80042954432747</v>
      </c>
      <c r="H77" s="17">
        <f t="shared" si="34"/>
        <v>541.18913746150088</v>
      </c>
      <c r="I77" s="17">
        <f t="shared" si="34"/>
        <v>480.9862814341036</v>
      </c>
      <c r="J77" s="17">
        <f t="shared" si="34"/>
        <v>432.84603287343492</v>
      </c>
      <c r="K77" s="17">
        <f t="shared" si="34"/>
        <v>395.67099078661948</v>
      </c>
      <c r="L77" s="17">
        <f t="shared" si="34"/>
        <v>367.84479634425099</v>
      </c>
      <c r="M77" s="17">
        <f t="shared" si="34"/>
        <v>347.7338769166526</v>
      </c>
      <c r="N77" s="17">
        <f t="shared" si="34"/>
        <v>333.87470458962576</v>
      </c>
      <c r="O77" s="17">
        <f t="shared" si="34"/>
        <v>325.02625700461959</v>
      </c>
      <c r="P77" s="8" t="b">
        <f>ROUND(O77,0)=ROUND(Q77,0)</f>
        <v>1</v>
      </c>
      <c r="Q77" s="71">
        <v>325</v>
      </c>
    </row>
    <row r="78" spans="1:18" ht="18" customHeight="1" x14ac:dyDescent="0.2">
      <c r="A78" s="10" t="s">
        <v>46</v>
      </c>
      <c r="B78" s="11">
        <v>0.05</v>
      </c>
      <c r="C78" s="17">
        <f t="shared" ref="C78:O78" si="35">$B$78*C77</f>
        <v>30.555000000000003</v>
      </c>
      <c r="D78" s="17">
        <f t="shared" si="35"/>
        <v>38.388438234400013</v>
      </c>
      <c r="E78" s="17">
        <f t="shared" si="35"/>
        <v>37.858787195562634</v>
      </c>
      <c r="F78" s="17">
        <f t="shared" si="35"/>
        <v>34.523530947994139</v>
      </c>
      <c r="G78" s="17">
        <f t="shared" si="35"/>
        <v>30.640021477216376</v>
      </c>
      <c r="H78" s="17">
        <f t="shared" si="35"/>
        <v>27.059456873075046</v>
      </c>
      <c r="I78" s="17">
        <f t="shared" si="35"/>
        <v>24.049314071705183</v>
      </c>
      <c r="J78" s="17">
        <f t="shared" si="35"/>
        <v>21.642301643671747</v>
      </c>
      <c r="K78" s="17">
        <f t="shared" si="35"/>
        <v>19.783549539330977</v>
      </c>
      <c r="L78" s="17">
        <f t="shared" si="35"/>
        <v>18.392239817212552</v>
      </c>
      <c r="M78" s="17">
        <f t="shared" si="35"/>
        <v>17.386693845832632</v>
      </c>
      <c r="N78" s="17">
        <f t="shared" si="35"/>
        <v>16.693735229481288</v>
      </c>
      <c r="O78" s="17">
        <f t="shared" si="35"/>
        <v>16.251312850230981</v>
      </c>
      <c r="P78" s="8" t="b">
        <f>ROUND(O78,0)=ROUND(Q78,0)</f>
        <v>1</v>
      </c>
      <c r="Q78" s="71">
        <v>16</v>
      </c>
    </row>
    <row r="79" spans="1:18" ht="18" customHeight="1" x14ac:dyDescent="0.2">
      <c r="B79" s="10"/>
      <c r="C79" s="10"/>
      <c r="D79" s="10"/>
      <c r="P79" s="8"/>
    </row>
    <row r="80" spans="1:18" ht="18" customHeight="1" x14ac:dyDescent="0.2">
      <c r="A80" s="6" t="s">
        <v>47</v>
      </c>
      <c r="B80" s="27"/>
      <c r="C80" s="27"/>
      <c r="D80" s="2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/>
      <c r="Q80" s="72"/>
      <c r="R80" s="18"/>
    </row>
    <row r="81" spans="1:18" ht="18" customHeight="1" x14ac:dyDescent="0.2">
      <c r="A81" s="30" t="s">
        <v>45</v>
      </c>
      <c r="B81" s="10"/>
      <c r="C81" s="18"/>
      <c r="D81" s="18">
        <f t="shared" ref="D81:O81" si="36">C125</f>
        <v>2037</v>
      </c>
      <c r="E81" s="18">
        <f t="shared" si="36"/>
        <v>2559.2292156266672</v>
      </c>
      <c r="F81" s="18">
        <f t="shared" si="36"/>
        <v>2523.9191463708421</v>
      </c>
      <c r="G81" s="18">
        <f t="shared" si="36"/>
        <v>2301.5687298662756</v>
      </c>
      <c r="H81" s="18">
        <f t="shared" si="36"/>
        <v>2042.6680984810916</v>
      </c>
      <c r="I81" s="18">
        <f t="shared" si="36"/>
        <v>1803.9637915383364</v>
      </c>
      <c r="J81" s="18">
        <f t="shared" si="36"/>
        <v>1603.2876047803454</v>
      </c>
      <c r="K81" s="18">
        <f t="shared" si="36"/>
        <v>1442.8201095781164</v>
      </c>
      <c r="L81" s="18">
        <f t="shared" si="36"/>
        <v>1318.903302622065</v>
      </c>
      <c r="M81" s="18">
        <f t="shared" si="36"/>
        <v>1226.1493211475033</v>
      </c>
      <c r="N81" s="18">
        <f t="shared" si="36"/>
        <v>1159.1129230555086</v>
      </c>
      <c r="O81" s="18">
        <f t="shared" si="36"/>
        <v>1112.9156819654193</v>
      </c>
      <c r="P81" s="8"/>
      <c r="Q81" s="72">
        <v>1083</v>
      </c>
      <c r="R81" s="18"/>
    </row>
    <row r="82" spans="1:18" ht="18" customHeight="1" x14ac:dyDescent="0.2">
      <c r="A82" s="10" t="s">
        <v>48</v>
      </c>
      <c r="B82" s="11">
        <v>0.05</v>
      </c>
      <c r="C82" s="17">
        <f t="shared" ref="C82:O82" si="37">$B$82*C76</f>
        <v>101.85000000000001</v>
      </c>
      <c r="D82" s="17">
        <f t="shared" si="37"/>
        <v>127.96146078133336</v>
      </c>
      <c r="E82" s="17">
        <f t="shared" si="37"/>
        <v>126.19595731854211</v>
      </c>
      <c r="F82" s="17">
        <f t="shared" si="37"/>
        <v>115.07843649331379</v>
      </c>
      <c r="G82" s="17">
        <f t="shared" si="37"/>
        <v>102.13340492405459</v>
      </c>
      <c r="H82" s="17">
        <f t="shared" si="37"/>
        <v>90.198189576916832</v>
      </c>
      <c r="I82" s="17">
        <f t="shared" si="37"/>
        <v>80.164380239017277</v>
      </c>
      <c r="J82" s="17">
        <f t="shared" si="37"/>
        <v>72.141005478905825</v>
      </c>
      <c r="K82" s="17">
        <f t="shared" si="37"/>
        <v>65.945165131103252</v>
      </c>
      <c r="L82" s="17">
        <f t="shared" si="37"/>
        <v>61.307466057375166</v>
      </c>
      <c r="M82" s="17">
        <f t="shared" si="37"/>
        <v>57.955646152775437</v>
      </c>
      <c r="N82" s="17">
        <f t="shared" si="37"/>
        <v>55.645784098270966</v>
      </c>
      <c r="O82" s="17">
        <f t="shared" si="37"/>
        <v>54.171042834103268</v>
      </c>
      <c r="P82" s="8" t="b">
        <f>ROUND(O82,0)=ROUND(Q82,0)</f>
        <v>1</v>
      </c>
      <c r="Q82" s="71">
        <v>54</v>
      </c>
    </row>
    <row r="83" spans="1:18" ht="18" customHeight="1" x14ac:dyDescent="0.2">
      <c r="A83" s="10" t="s">
        <v>49</v>
      </c>
      <c r="B83" s="11">
        <v>0.9</v>
      </c>
      <c r="C83" s="17">
        <f t="shared" ref="C83:O83" si="38">$B$83*C82</f>
        <v>91.665000000000006</v>
      </c>
      <c r="D83" s="17">
        <f t="shared" si="38"/>
        <v>115.16531470320002</v>
      </c>
      <c r="E83" s="17">
        <f t="shared" si="38"/>
        <v>113.57636158668791</v>
      </c>
      <c r="F83" s="17">
        <f t="shared" si="38"/>
        <v>103.57059284398241</v>
      </c>
      <c r="G83" s="17">
        <f t="shared" si="38"/>
        <v>91.920064431649138</v>
      </c>
      <c r="H83" s="17">
        <f t="shared" si="38"/>
        <v>81.178370619225149</v>
      </c>
      <c r="I83" s="17">
        <f t="shared" si="38"/>
        <v>72.147942215115549</v>
      </c>
      <c r="J83" s="17">
        <f t="shared" si="38"/>
        <v>64.926904931015244</v>
      </c>
      <c r="K83" s="17">
        <f t="shared" si="38"/>
        <v>59.350648617992931</v>
      </c>
      <c r="L83" s="17">
        <f t="shared" si="38"/>
        <v>55.176719451637652</v>
      </c>
      <c r="M83" s="17">
        <f t="shared" si="38"/>
        <v>52.160081537497895</v>
      </c>
      <c r="N83" s="17">
        <f t="shared" si="38"/>
        <v>50.081205688443873</v>
      </c>
      <c r="O83" s="17">
        <f t="shared" si="38"/>
        <v>48.753938550692943</v>
      </c>
      <c r="P83" s="8" t="b">
        <f>ROUND(O83,0)=ROUND(Q83,0)</f>
        <v>1</v>
      </c>
      <c r="Q83" s="71">
        <v>49</v>
      </c>
    </row>
    <row r="84" spans="1:18" ht="18" customHeight="1" x14ac:dyDescent="0.2">
      <c r="B84" s="10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8"/>
    </row>
    <row r="85" spans="1:18" ht="18" customHeight="1" x14ac:dyDescent="0.2">
      <c r="A85" s="30" t="s">
        <v>50</v>
      </c>
      <c r="B85" s="10"/>
      <c r="C85" s="31">
        <f t="shared" ref="C85:O85" si="39">C126</f>
        <v>793</v>
      </c>
      <c r="D85" s="31">
        <f t="shared" si="39"/>
        <v>430.97830173629626</v>
      </c>
      <c r="E85" s="31">
        <f t="shared" si="39"/>
        <v>273.70823130624842</v>
      </c>
      <c r="F85" s="31">
        <f t="shared" si="39"/>
        <v>200.15707007193987</v>
      </c>
      <c r="G85" s="31">
        <f t="shared" si="39"/>
        <v>160.94923195015423</v>
      </c>
      <c r="H85" s="31">
        <f t="shared" si="39"/>
        <v>136.87100886595186</v>
      </c>
      <c r="I85" s="31">
        <f t="shared" si="39"/>
        <v>120.45009143594032</v>
      </c>
      <c r="J85" s="31">
        <f t="shared" si="39"/>
        <v>108.62335619526333</v>
      </c>
      <c r="K85" s="31">
        <f t="shared" si="39"/>
        <v>99.970316253380901</v>
      </c>
      <c r="L85" s="31">
        <f t="shared" si="39"/>
        <v>93.701370759481975</v>
      </c>
      <c r="M85" s="31">
        <f t="shared" si="39"/>
        <v>89.293873294806019</v>
      </c>
      <c r="N85" s="31">
        <f t="shared" si="39"/>
        <v>86.360317636680932</v>
      </c>
      <c r="O85" s="31">
        <f t="shared" si="39"/>
        <v>84.59760657516118</v>
      </c>
      <c r="P85" s="8"/>
      <c r="Q85" s="71">
        <v>85</v>
      </c>
    </row>
    <row r="86" spans="1:18" ht="18" customHeight="1" x14ac:dyDescent="0.2">
      <c r="A86" s="10" t="s">
        <v>48</v>
      </c>
      <c r="B86" s="11">
        <v>0.4</v>
      </c>
      <c r="C86" s="17">
        <f t="shared" ref="C86:O86" si="40">$B$86*C85</f>
        <v>317.20000000000005</v>
      </c>
      <c r="D86" s="17">
        <f t="shared" si="40"/>
        <v>172.39132069451853</v>
      </c>
      <c r="E86" s="17">
        <f t="shared" si="40"/>
        <v>109.48329252249937</v>
      </c>
      <c r="F86" s="17">
        <f t="shared" si="40"/>
        <v>80.062828028775954</v>
      </c>
      <c r="G86" s="17">
        <f t="shared" si="40"/>
        <v>64.379692780061688</v>
      </c>
      <c r="H86" s="17">
        <f t="shared" si="40"/>
        <v>54.74840354638075</v>
      </c>
      <c r="I86" s="17">
        <f t="shared" si="40"/>
        <v>48.180036574376132</v>
      </c>
      <c r="J86" s="17">
        <f t="shared" si="40"/>
        <v>43.449342478105336</v>
      </c>
      <c r="K86" s="17">
        <f t="shared" si="40"/>
        <v>39.988126501352362</v>
      </c>
      <c r="L86" s="17">
        <f t="shared" si="40"/>
        <v>37.480548303792794</v>
      </c>
      <c r="M86" s="17">
        <f t="shared" si="40"/>
        <v>35.717549317922412</v>
      </c>
      <c r="N86" s="17">
        <f t="shared" si="40"/>
        <v>34.544127054672373</v>
      </c>
      <c r="O86" s="17">
        <f t="shared" si="40"/>
        <v>33.839042630064476</v>
      </c>
      <c r="P86" s="8" t="b">
        <f>ROUND(O86,0)=ROUND(Q86,0)</f>
        <v>1</v>
      </c>
      <c r="Q86" s="72">
        <v>34</v>
      </c>
      <c r="R86" s="18"/>
    </row>
    <row r="87" spans="1:18" ht="18" customHeight="1" x14ac:dyDescent="0.2">
      <c r="A87" s="10" t="s">
        <v>51</v>
      </c>
      <c r="B87" s="11">
        <v>0.9</v>
      </c>
      <c r="C87" s="17">
        <f t="shared" ref="C87:O87" si="41">$B$87*C86</f>
        <v>285.48000000000008</v>
      </c>
      <c r="D87" s="17">
        <f t="shared" si="41"/>
        <v>155.15218862506669</v>
      </c>
      <c r="E87" s="17">
        <f t="shared" si="41"/>
        <v>98.534963270249435</v>
      </c>
      <c r="F87" s="17">
        <f t="shared" si="41"/>
        <v>72.056545225898361</v>
      </c>
      <c r="G87" s="17">
        <f t="shared" si="41"/>
        <v>57.941723502055524</v>
      </c>
      <c r="H87" s="17">
        <f t="shared" si="41"/>
        <v>49.273563191742674</v>
      </c>
      <c r="I87" s="17">
        <f t="shared" si="41"/>
        <v>43.362032916938517</v>
      </c>
      <c r="J87" s="17">
        <f t="shared" si="41"/>
        <v>39.104408230294801</v>
      </c>
      <c r="K87" s="17">
        <f t="shared" si="41"/>
        <v>35.989313851217126</v>
      </c>
      <c r="L87" s="17">
        <f t="shared" si="41"/>
        <v>33.732493473413513</v>
      </c>
      <c r="M87" s="17">
        <f t="shared" si="41"/>
        <v>32.14579438613017</v>
      </c>
      <c r="N87" s="17">
        <f t="shared" si="41"/>
        <v>31.089714349205135</v>
      </c>
      <c r="O87" s="17">
        <f t="shared" si="41"/>
        <v>30.45513836705803</v>
      </c>
      <c r="P87" s="8" t="b">
        <f>ROUND(O87,0)=ROUND(Q87,0)</f>
        <v>1</v>
      </c>
      <c r="Q87" s="72">
        <v>30</v>
      </c>
      <c r="R87" s="18"/>
    </row>
    <row r="88" spans="1:18" ht="14.25" customHeight="1" x14ac:dyDescent="0.15">
      <c r="A88" s="13" t="s">
        <v>10</v>
      </c>
      <c r="B88" s="12">
        <v>0.1</v>
      </c>
      <c r="C88" s="17">
        <f t="shared" ref="C88:O88" si="42">$B$88*C87</f>
        <v>28.548000000000009</v>
      </c>
      <c r="D88" s="17">
        <f t="shared" si="42"/>
        <v>15.51521886250667</v>
      </c>
      <c r="E88" s="17">
        <f t="shared" si="42"/>
        <v>9.8534963270249438</v>
      </c>
      <c r="F88" s="17">
        <f t="shared" si="42"/>
        <v>7.2056545225898363</v>
      </c>
      <c r="G88" s="17">
        <f t="shared" si="42"/>
        <v>5.7941723502055531</v>
      </c>
      <c r="H88" s="17">
        <f t="shared" si="42"/>
        <v>4.927356319174268</v>
      </c>
      <c r="I88" s="17">
        <f t="shared" si="42"/>
        <v>4.3362032916938515</v>
      </c>
      <c r="J88" s="17">
        <f t="shared" si="42"/>
        <v>3.9104408230294805</v>
      </c>
      <c r="K88" s="17">
        <f t="shared" si="42"/>
        <v>3.5989313851217126</v>
      </c>
      <c r="L88" s="17">
        <f t="shared" si="42"/>
        <v>3.3732493473413516</v>
      </c>
      <c r="M88" s="17">
        <f t="shared" si="42"/>
        <v>3.2145794386130171</v>
      </c>
      <c r="N88" s="17">
        <f t="shared" si="42"/>
        <v>3.1089714349205138</v>
      </c>
      <c r="O88" s="17">
        <f t="shared" si="42"/>
        <v>3.045513836705803</v>
      </c>
      <c r="P88" s="8" t="b">
        <f>ROUND(O88,0)=ROUND(Q88,0)</f>
        <v>1</v>
      </c>
      <c r="Q88" s="71">
        <v>3</v>
      </c>
    </row>
    <row r="89" spans="1:18" ht="14.25" customHeight="1" x14ac:dyDescent="0.15">
      <c r="A89" s="13" t="s">
        <v>11</v>
      </c>
      <c r="B89" s="12">
        <v>0.9</v>
      </c>
      <c r="C89" s="17">
        <f t="shared" ref="C89:O89" si="43">$B$89*C87</f>
        <v>256.93200000000007</v>
      </c>
      <c r="D89" s="17">
        <f t="shared" si="43"/>
        <v>139.63696976256003</v>
      </c>
      <c r="E89" s="17">
        <f t="shared" si="43"/>
        <v>88.681466943224493</v>
      </c>
      <c r="F89" s="17">
        <f t="shared" si="43"/>
        <v>64.850890703308522</v>
      </c>
      <c r="G89" s="17">
        <f t="shared" si="43"/>
        <v>52.147551151849974</v>
      </c>
      <c r="H89" s="17">
        <f t="shared" si="43"/>
        <v>44.346206872568409</v>
      </c>
      <c r="I89" s="17">
        <f t="shared" si="43"/>
        <v>39.025829625244668</v>
      </c>
      <c r="J89" s="17">
        <f t="shared" si="43"/>
        <v>35.193967407265319</v>
      </c>
      <c r="K89" s="17">
        <f t="shared" si="43"/>
        <v>32.390382466095417</v>
      </c>
      <c r="L89" s="17">
        <f t="shared" si="43"/>
        <v>30.359244126072163</v>
      </c>
      <c r="M89" s="17">
        <f t="shared" si="43"/>
        <v>28.931214947517155</v>
      </c>
      <c r="N89" s="17">
        <f t="shared" si="43"/>
        <v>27.980742914284622</v>
      </c>
      <c r="O89" s="17">
        <f t="shared" si="43"/>
        <v>27.409624530352229</v>
      </c>
      <c r="P89" s="8" t="b">
        <f>ROUND(O89,0)=ROUND(Q89,0)</f>
        <v>1</v>
      </c>
      <c r="Q89" s="71">
        <v>27</v>
      </c>
    </row>
    <row r="90" spans="1:18" ht="18" customHeight="1" x14ac:dyDescent="0.2">
      <c r="B90" s="10"/>
      <c r="C90" s="10"/>
      <c r="D90" s="10"/>
      <c r="P90" s="8"/>
    </row>
    <row r="91" spans="1:18" ht="18" customHeight="1" x14ac:dyDescent="0.2">
      <c r="A91" s="6" t="s">
        <v>52</v>
      </c>
      <c r="B91" s="27"/>
      <c r="C91" s="27"/>
      <c r="D91" s="2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/>
    </row>
    <row r="92" spans="1:18" ht="18" customHeight="1" x14ac:dyDescent="0.2">
      <c r="A92" s="30" t="s">
        <v>44</v>
      </c>
      <c r="B92" s="10"/>
      <c r="C92" s="10"/>
      <c r="D92" s="10">
        <f t="shared" ref="D92:O92" si="44">C124</f>
        <v>6961</v>
      </c>
      <c r="E92">
        <f t="shared" si="44"/>
        <v>6519.2606250074077</v>
      </c>
      <c r="F92">
        <f t="shared" si="44"/>
        <v>5507.7904272734286</v>
      </c>
      <c r="G92">
        <f t="shared" si="44"/>
        <v>4623.779735281274</v>
      </c>
      <c r="H92">
        <f t="shared" si="44"/>
        <v>3939.4520667535498</v>
      </c>
      <c r="I92">
        <f t="shared" si="44"/>
        <v>3424.1917496132214</v>
      </c>
      <c r="J92">
        <f t="shared" si="44"/>
        <v>3040.2565057531965</v>
      </c>
      <c r="K92">
        <f t="shared" si="44"/>
        <v>2757.1512490094469</v>
      </c>
      <c r="L92">
        <f t="shared" si="44"/>
        <v>2551.7182500069821</v>
      </c>
      <c r="M92">
        <f t="shared" si="44"/>
        <v>2406.4277637582722</v>
      </c>
      <c r="N92">
        <f t="shared" si="44"/>
        <v>2307.9057026353721</v>
      </c>
      <c r="O92">
        <f t="shared" si="44"/>
        <v>2245.865374216532</v>
      </c>
      <c r="P92" s="8"/>
    </row>
    <row r="93" spans="1:18" ht="18" customHeight="1" x14ac:dyDescent="0.2">
      <c r="A93" s="10" t="s">
        <v>53</v>
      </c>
      <c r="B93" s="32">
        <v>0.2</v>
      </c>
      <c r="C93" s="17">
        <f t="shared" ref="C93:O93" si="45">$B$93*C71</f>
        <v>1392.2</v>
      </c>
      <c r="D93" s="17">
        <f t="shared" si="45"/>
        <v>1303.8521250014817</v>
      </c>
      <c r="E93" s="17">
        <f t="shared" si="45"/>
        <v>1101.5580854546859</v>
      </c>
      <c r="F93" s="17">
        <f t="shared" si="45"/>
        <v>924.75594705625485</v>
      </c>
      <c r="G93" s="17">
        <f t="shared" si="45"/>
        <v>787.89041335070999</v>
      </c>
      <c r="H93" s="17">
        <f t="shared" si="45"/>
        <v>684.83834992264428</v>
      </c>
      <c r="I93" s="17">
        <f t="shared" si="45"/>
        <v>608.05130115063935</v>
      </c>
      <c r="J93" s="17">
        <f t="shared" si="45"/>
        <v>551.43024980188943</v>
      </c>
      <c r="K93" s="17">
        <f t="shared" si="45"/>
        <v>510.34365000139644</v>
      </c>
      <c r="L93" s="17">
        <f t="shared" si="45"/>
        <v>481.28555275165445</v>
      </c>
      <c r="M93" s="17">
        <f t="shared" si="45"/>
        <v>461.58114052707447</v>
      </c>
      <c r="N93" s="17">
        <f t="shared" si="45"/>
        <v>449.17307484330644</v>
      </c>
      <c r="O93" s="17">
        <f t="shared" si="45"/>
        <v>442.46893751398704</v>
      </c>
      <c r="P93" s="8" t="b">
        <f>ROUND(O93,0)=ROUND(Q93,0)</f>
        <v>1</v>
      </c>
      <c r="Q93" s="71">
        <v>442</v>
      </c>
    </row>
    <row r="94" spans="1:18" ht="18" customHeight="1" x14ac:dyDescent="0.2">
      <c r="A94" s="10" t="s">
        <v>54</v>
      </c>
      <c r="B94" s="11">
        <v>0.9</v>
      </c>
      <c r="C94" s="17">
        <f t="shared" ref="C94:O94" si="46">$B$94*C93</f>
        <v>1252.98</v>
      </c>
      <c r="D94" s="17">
        <f t="shared" si="46"/>
        <v>1173.4669125013336</v>
      </c>
      <c r="E94" s="17">
        <f t="shared" si="46"/>
        <v>991.40227690921733</v>
      </c>
      <c r="F94" s="17">
        <f t="shared" si="46"/>
        <v>832.28035235062941</v>
      </c>
      <c r="G94" s="17">
        <f t="shared" si="46"/>
        <v>709.10137201563896</v>
      </c>
      <c r="H94" s="17">
        <f t="shared" si="46"/>
        <v>616.35451493037988</v>
      </c>
      <c r="I94" s="17">
        <f t="shared" si="46"/>
        <v>547.24617103557546</v>
      </c>
      <c r="J94" s="17">
        <f t="shared" si="46"/>
        <v>496.28722482170048</v>
      </c>
      <c r="K94" s="17">
        <f t="shared" si="46"/>
        <v>459.3092850012568</v>
      </c>
      <c r="L94" s="17">
        <f t="shared" si="46"/>
        <v>433.15699747648904</v>
      </c>
      <c r="M94" s="17">
        <f t="shared" si="46"/>
        <v>415.42302647436702</v>
      </c>
      <c r="N94" s="17">
        <f t="shared" si="46"/>
        <v>404.25576735897579</v>
      </c>
      <c r="O94" s="17">
        <f t="shared" si="46"/>
        <v>398.22204376258833</v>
      </c>
      <c r="P94" s="8" t="b">
        <f>ROUND(O94,0)=ROUND(Q94,0)</f>
        <v>1</v>
      </c>
      <c r="Q94" s="71">
        <v>398</v>
      </c>
    </row>
    <row r="95" spans="1:18" ht="18" customHeight="1" x14ac:dyDescent="0.2">
      <c r="A95" s="10"/>
      <c r="B95" s="10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31"/>
    </row>
    <row r="96" spans="1:18" ht="18" customHeight="1" x14ac:dyDescent="0.2">
      <c r="A96" s="30" t="s">
        <v>45</v>
      </c>
      <c r="B96" s="10"/>
      <c r="C96" s="18"/>
      <c r="D96" s="18">
        <f t="shared" ref="D96:O96" si="47">C125</f>
        <v>2037</v>
      </c>
      <c r="E96" s="18">
        <f t="shared" si="47"/>
        <v>2559.2292156266672</v>
      </c>
      <c r="F96" s="18">
        <f t="shared" si="47"/>
        <v>2523.9191463708421</v>
      </c>
      <c r="G96" s="18">
        <f t="shared" si="47"/>
        <v>2301.5687298662756</v>
      </c>
      <c r="H96" s="18">
        <f t="shared" si="47"/>
        <v>2042.6680984810916</v>
      </c>
      <c r="I96" s="18">
        <f t="shared" si="47"/>
        <v>1803.9637915383364</v>
      </c>
      <c r="J96" s="18">
        <f t="shared" si="47"/>
        <v>1603.2876047803454</v>
      </c>
      <c r="K96" s="18">
        <f t="shared" si="47"/>
        <v>1442.8201095781164</v>
      </c>
      <c r="L96" s="18">
        <f t="shared" si="47"/>
        <v>1318.903302622065</v>
      </c>
      <c r="M96" s="18">
        <f t="shared" si="47"/>
        <v>1226.1493211475033</v>
      </c>
      <c r="N96" s="18">
        <f t="shared" si="47"/>
        <v>1159.1129230555086</v>
      </c>
      <c r="O96" s="18">
        <f t="shared" si="47"/>
        <v>1112.9156819654193</v>
      </c>
      <c r="P96" s="31"/>
    </row>
    <row r="97" spans="1:18" ht="18" customHeight="1" x14ac:dyDescent="0.2">
      <c r="A97" s="10" t="s">
        <v>53</v>
      </c>
      <c r="B97" s="32">
        <v>0.45</v>
      </c>
      <c r="C97" s="17">
        <f t="shared" ref="C97:O97" si="48">$B$97*C76</f>
        <v>916.65</v>
      </c>
      <c r="D97" s="17">
        <f t="shared" si="48"/>
        <v>1151.6531470320003</v>
      </c>
      <c r="E97" s="17">
        <f t="shared" si="48"/>
        <v>1135.763615866879</v>
      </c>
      <c r="F97" s="17">
        <f t="shared" si="48"/>
        <v>1035.705928439824</v>
      </c>
      <c r="G97" s="17">
        <f t="shared" si="48"/>
        <v>919.20064431649121</v>
      </c>
      <c r="H97" s="17">
        <f t="shared" si="48"/>
        <v>811.78370619225143</v>
      </c>
      <c r="I97" s="17">
        <f t="shared" si="48"/>
        <v>721.4794221511554</v>
      </c>
      <c r="J97" s="17">
        <f t="shared" si="48"/>
        <v>649.26904931015247</v>
      </c>
      <c r="K97" s="17">
        <f t="shared" si="48"/>
        <v>593.50648617992931</v>
      </c>
      <c r="L97" s="17">
        <f t="shared" si="48"/>
        <v>551.76719451637655</v>
      </c>
      <c r="M97" s="17">
        <f t="shared" si="48"/>
        <v>521.60081537497888</v>
      </c>
      <c r="N97" s="17">
        <f t="shared" si="48"/>
        <v>500.81205688443868</v>
      </c>
      <c r="O97" s="17">
        <f t="shared" si="48"/>
        <v>487.53938550692936</v>
      </c>
      <c r="P97" s="8" t="b">
        <f>ROUND(O97,0)=ROUND(Q97,0)</f>
        <v>1</v>
      </c>
      <c r="Q97" s="71">
        <v>488</v>
      </c>
    </row>
    <row r="98" spans="1:18" ht="18" customHeight="1" x14ac:dyDescent="0.2">
      <c r="A98" s="10" t="s">
        <v>54</v>
      </c>
      <c r="B98" s="11">
        <v>0.85</v>
      </c>
      <c r="C98" s="17">
        <f t="shared" ref="C98:O98" si="49">$B$98*C97</f>
        <v>779.15249999999992</v>
      </c>
      <c r="D98" s="17">
        <f t="shared" si="49"/>
        <v>978.9051749772002</v>
      </c>
      <c r="E98" s="17">
        <f t="shared" si="49"/>
        <v>965.3990734868471</v>
      </c>
      <c r="F98" s="17">
        <f t="shared" si="49"/>
        <v>880.3500391738504</v>
      </c>
      <c r="G98" s="17">
        <f t="shared" si="49"/>
        <v>781.32054766901751</v>
      </c>
      <c r="H98" s="17">
        <f t="shared" si="49"/>
        <v>690.01615026341369</v>
      </c>
      <c r="I98" s="17">
        <f t="shared" si="49"/>
        <v>613.25750882848206</v>
      </c>
      <c r="J98" s="17">
        <f t="shared" si="49"/>
        <v>551.87869191362961</v>
      </c>
      <c r="K98" s="17">
        <f t="shared" si="49"/>
        <v>504.48051325293989</v>
      </c>
      <c r="L98" s="17">
        <f t="shared" si="49"/>
        <v>469.00211533892008</v>
      </c>
      <c r="M98" s="17">
        <f t="shared" si="49"/>
        <v>443.36069306873202</v>
      </c>
      <c r="N98" s="17">
        <f t="shared" si="49"/>
        <v>425.69024835177288</v>
      </c>
      <c r="O98" s="17">
        <f t="shared" si="49"/>
        <v>414.40847768088997</v>
      </c>
      <c r="P98" s="8" t="b">
        <f>ROUND(O98,0)=ROUND(Q98,0)</f>
        <v>1</v>
      </c>
      <c r="Q98" s="71">
        <v>414</v>
      </c>
    </row>
    <row r="99" spans="1:18" ht="18" customHeight="1" x14ac:dyDescent="0.2">
      <c r="A99" s="10"/>
      <c r="B99" s="10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31"/>
    </row>
    <row r="100" spans="1:18" ht="18" customHeight="1" x14ac:dyDescent="0.2">
      <c r="A100" s="30" t="s">
        <v>50</v>
      </c>
      <c r="B100" s="10"/>
      <c r="C100" s="18"/>
      <c r="D100" s="18">
        <f t="shared" ref="D100:O100" si="50">C126</f>
        <v>793</v>
      </c>
      <c r="E100" s="18">
        <f t="shared" si="50"/>
        <v>430.97830173629626</v>
      </c>
      <c r="F100" s="18">
        <f t="shared" si="50"/>
        <v>273.70823130624842</v>
      </c>
      <c r="G100" s="18">
        <f t="shared" si="50"/>
        <v>200.15707007193987</v>
      </c>
      <c r="H100" s="18">
        <f t="shared" si="50"/>
        <v>160.94923195015423</v>
      </c>
      <c r="I100" s="18">
        <f t="shared" si="50"/>
        <v>136.87100886595186</v>
      </c>
      <c r="J100" s="18">
        <f t="shared" si="50"/>
        <v>120.45009143594032</v>
      </c>
      <c r="K100" s="18">
        <f t="shared" si="50"/>
        <v>108.62335619526333</v>
      </c>
      <c r="L100" s="18">
        <f t="shared" si="50"/>
        <v>99.970316253380901</v>
      </c>
      <c r="M100" s="18">
        <f t="shared" si="50"/>
        <v>93.701370759481975</v>
      </c>
      <c r="N100" s="18">
        <f t="shared" si="50"/>
        <v>89.293873294806019</v>
      </c>
      <c r="O100" s="18">
        <f t="shared" si="50"/>
        <v>86.360317636680932</v>
      </c>
      <c r="P100" s="31"/>
    </row>
    <row r="101" spans="1:18" ht="18" customHeight="1" x14ac:dyDescent="0.2">
      <c r="A101" s="10" t="s">
        <v>53</v>
      </c>
      <c r="B101" s="32">
        <v>0.3</v>
      </c>
      <c r="C101" s="17">
        <f t="shared" ref="C101:O101" si="51">$B$101*C85</f>
        <v>237.89999999999998</v>
      </c>
      <c r="D101" s="17">
        <f t="shared" si="51"/>
        <v>129.29349052088887</v>
      </c>
      <c r="E101" s="17">
        <f t="shared" si="51"/>
        <v>82.112469391874527</v>
      </c>
      <c r="F101" s="17">
        <f t="shared" si="51"/>
        <v>60.047121021581958</v>
      </c>
      <c r="G101" s="17">
        <f t="shared" si="51"/>
        <v>48.28476958504627</v>
      </c>
      <c r="H101" s="17">
        <f t="shared" si="51"/>
        <v>41.061302659785561</v>
      </c>
      <c r="I101" s="17">
        <f t="shared" si="51"/>
        <v>36.135027430782095</v>
      </c>
      <c r="J101" s="17">
        <f t="shared" si="51"/>
        <v>32.587006858578995</v>
      </c>
      <c r="K101" s="17">
        <f t="shared" si="51"/>
        <v>29.991094876014269</v>
      </c>
      <c r="L101" s="17">
        <f t="shared" si="51"/>
        <v>28.11041122784459</v>
      </c>
      <c r="M101" s="17">
        <f t="shared" si="51"/>
        <v>26.788161988441804</v>
      </c>
      <c r="N101" s="17">
        <f t="shared" si="51"/>
        <v>25.90809529100428</v>
      </c>
      <c r="O101" s="17">
        <f t="shared" si="51"/>
        <v>25.379281972548352</v>
      </c>
      <c r="P101" s="8" t="b">
        <f>ROUND(O101,0)=ROUND(Q101,0)</f>
        <v>1</v>
      </c>
      <c r="Q101" s="71">
        <v>25</v>
      </c>
    </row>
    <row r="102" spans="1:18" ht="18" customHeight="1" x14ac:dyDescent="0.2">
      <c r="A102" s="10" t="s">
        <v>54</v>
      </c>
      <c r="B102" s="11">
        <v>0.8</v>
      </c>
      <c r="C102" s="17">
        <f t="shared" ref="C102:O102" si="52">$B$102*C101</f>
        <v>190.32</v>
      </c>
      <c r="D102" s="17">
        <f t="shared" si="52"/>
        <v>103.4347924167111</v>
      </c>
      <c r="E102" s="17">
        <f t="shared" si="52"/>
        <v>65.689975513499618</v>
      </c>
      <c r="F102" s="17">
        <f t="shared" si="52"/>
        <v>48.037696817265569</v>
      </c>
      <c r="G102" s="17">
        <f t="shared" si="52"/>
        <v>38.627815668037016</v>
      </c>
      <c r="H102" s="17">
        <f t="shared" si="52"/>
        <v>32.849042127828447</v>
      </c>
      <c r="I102" s="17">
        <f t="shared" si="52"/>
        <v>28.908021944625677</v>
      </c>
      <c r="J102" s="17">
        <f t="shared" si="52"/>
        <v>26.069605486863196</v>
      </c>
      <c r="K102" s="17">
        <f t="shared" si="52"/>
        <v>23.992875900811416</v>
      </c>
      <c r="L102" s="17">
        <f t="shared" si="52"/>
        <v>22.488328982275675</v>
      </c>
      <c r="M102" s="17">
        <f t="shared" si="52"/>
        <v>21.430529590753444</v>
      </c>
      <c r="N102" s="17">
        <f t="shared" si="52"/>
        <v>20.726476232803424</v>
      </c>
      <c r="O102" s="17">
        <f t="shared" si="52"/>
        <v>20.303425578038684</v>
      </c>
      <c r="P102" s="8" t="b">
        <f>ROUND(O102,0)=ROUND(Q102,0)</f>
        <v>1</v>
      </c>
      <c r="Q102" s="71">
        <v>20</v>
      </c>
    </row>
    <row r="103" spans="1:18" ht="18" customHeight="1" x14ac:dyDescent="0.2">
      <c r="B103" s="10"/>
      <c r="C103" s="10"/>
      <c r="D103" s="10"/>
      <c r="P103" s="8"/>
    </row>
    <row r="104" spans="1:18" ht="18" customHeight="1" x14ac:dyDescent="0.2">
      <c r="A104" s="6" t="s">
        <v>55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8"/>
    </row>
    <row r="105" spans="1:18" ht="18" customHeight="1" x14ac:dyDescent="0.2">
      <c r="A105" s="10" t="s">
        <v>56</v>
      </c>
      <c r="B105" s="33"/>
      <c r="C105" s="33"/>
      <c r="D105" s="34">
        <f t="shared" ref="D105:O105" si="53">C43</f>
        <v>571.75925925925924</v>
      </c>
      <c r="E105" s="34">
        <f t="shared" si="53"/>
        <v>601.85185185185196</v>
      </c>
      <c r="F105" s="34">
        <f t="shared" si="53"/>
        <v>631.94444444444446</v>
      </c>
      <c r="G105" s="34">
        <f t="shared" si="53"/>
        <v>662.03703703703707</v>
      </c>
      <c r="H105" s="34">
        <f t="shared" si="53"/>
        <v>692.12962962962968</v>
      </c>
      <c r="I105" s="34">
        <f t="shared" si="53"/>
        <v>722.22222222222229</v>
      </c>
      <c r="J105" s="34">
        <f t="shared" si="53"/>
        <v>752.31481481481478</v>
      </c>
      <c r="K105" s="34">
        <f t="shared" si="53"/>
        <v>782.40740740740739</v>
      </c>
      <c r="L105" s="34">
        <f t="shared" si="53"/>
        <v>812.5</v>
      </c>
      <c r="M105" s="34">
        <f t="shared" si="53"/>
        <v>842.59259259259261</v>
      </c>
      <c r="N105" s="34">
        <f t="shared" si="53"/>
        <v>872.68518518518522</v>
      </c>
      <c r="O105" s="35">
        <f t="shared" si="53"/>
        <v>902.77777777777783</v>
      </c>
      <c r="P105" s="8" t="b">
        <f>ROUND(O105,0)=ROUND(Q105,0)</f>
        <v>1</v>
      </c>
      <c r="Q105" s="71">
        <v>903</v>
      </c>
    </row>
    <row r="106" spans="1:18" ht="18" customHeight="1" x14ac:dyDescent="0.2">
      <c r="A106" s="10" t="s">
        <v>57</v>
      </c>
      <c r="B106" s="33"/>
      <c r="C106" s="36"/>
      <c r="D106" s="34">
        <f t="shared" ref="D106:O106" si="54">C107-D109</f>
        <v>1712.1999999999998</v>
      </c>
      <c r="E106" s="34">
        <f t="shared" si="54"/>
        <v>456.79185185185179</v>
      </c>
      <c r="F106" s="34">
        <f t="shared" si="54"/>
        <v>211.7287407407407</v>
      </c>
      <c r="G106" s="34">
        <f t="shared" si="54"/>
        <v>168.73463703703703</v>
      </c>
      <c r="H106" s="34">
        <f t="shared" si="54"/>
        <v>166.15433481481477</v>
      </c>
      <c r="I106" s="34">
        <f t="shared" si="54"/>
        <v>171.65679288888884</v>
      </c>
      <c r="J106" s="34">
        <f t="shared" si="54"/>
        <v>178.77580302222214</v>
      </c>
      <c r="K106" s="34">
        <f t="shared" si="54"/>
        <v>186.21812356740736</v>
      </c>
      <c r="L106" s="34">
        <f t="shared" si="54"/>
        <v>193.7251061949629</v>
      </c>
      <c r="M106" s="34">
        <f t="shared" si="54"/>
        <v>201.24502123899254</v>
      </c>
      <c r="N106" s="34">
        <f t="shared" si="54"/>
        <v>208.76752276631703</v>
      </c>
      <c r="O106" s="35">
        <f t="shared" si="54"/>
        <v>216.29054159030045</v>
      </c>
      <c r="P106" s="8" t="b">
        <f>ROUND(O106,0)=ROUND(Q106,0)</f>
        <v>1</v>
      </c>
      <c r="Q106" s="72">
        <v>216</v>
      </c>
      <c r="R106" s="18"/>
    </row>
    <row r="107" spans="1:18" ht="18" customHeight="1" x14ac:dyDescent="0.2">
      <c r="A107" s="10" t="s">
        <v>58</v>
      </c>
      <c r="B107" s="33"/>
      <c r="C107" s="37">
        <v>8561</v>
      </c>
      <c r="D107" s="34">
        <f>SUM(D105:D106)</f>
        <v>2283.9592592592589</v>
      </c>
      <c r="E107" s="34">
        <f t="shared" ref="E107:O107" si="55">E105+E106</f>
        <v>1058.6437037037037</v>
      </c>
      <c r="F107" s="34">
        <f t="shared" si="55"/>
        <v>843.67318518518516</v>
      </c>
      <c r="G107" s="34">
        <f t="shared" si="55"/>
        <v>830.7716740740741</v>
      </c>
      <c r="H107" s="34">
        <f t="shared" si="55"/>
        <v>858.28396444444445</v>
      </c>
      <c r="I107" s="34">
        <f t="shared" si="55"/>
        <v>893.87901511111113</v>
      </c>
      <c r="J107" s="34">
        <f t="shared" si="55"/>
        <v>931.09061783703692</v>
      </c>
      <c r="K107" s="34">
        <f t="shared" si="55"/>
        <v>968.62553097481475</v>
      </c>
      <c r="L107" s="34">
        <f t="shared" si="55"/>
        <v>1006.2251061949629</v>
      </c>
      <c r="M107" s="34">
        <f t="shared" si="55"/>
        <v>1043.8376138315853</v>
      </c>
      <c r="N107" s="34">
        <f t="shared" si="55"/>
        <v>1081.4527079515024</v>
      </c>
      <c r="O107" s="35">
        <f t="shared" si="55"/>
        <v>1119.0683193680784</v>
      </c>
      <c r="P107" s="8" t="b">
        <f>ROUND(O107,0)=ROUND(Q107,0)</f>
        <v>1</v>
      </c>
      <c r="Q107" s="72">
        <v>1119</v>
      </c>
      <c r="R107" s="18"/>
    </row>
    <row r="108" spans="1:18" ht="18" customHeight="1" x14ac:dyDescent="0.2">
      <c r="A108" s="10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8"/>
    </row>
    <row r="109" spans="1:18" ht="18" customHeight="1" x14ac:dyDescent="0.2">
      <c r="A109" s="10" t="s">
        <v>59</v>
      </c>
      <c r="B109" s="33"/>
      <c r="C109" s="33"/>
      <c r="D109" s="38">
        <f t="shared" ref="D109:O109" si="56">$B$110*C107</f>
        <v>6848.8</v>
      </c>
      <c r="E109" s="38">
        <f t="shared" si="56"/>
        <v>1827.1674074074072</v>
      </c>
      <c r="F109" s="38">
        <f t="shared" si="56"/>
        <v>846.91496296296305</v>
      </c>
      <c r="G109" s="38">
        <f t="shared" si="56"/>
        <v>674.93854814814813</v>
      </c>
      <c r="H109" s="38">
        <f t="shared" si="56"/>
        <v>664.61733925925932</v>
      </c>
      <c r="I109" s="38">
        <f t="shared" si="56"/>
        <v>686.62717155555561</v>
      </c>
      <c r="J109" s="38">
        <f t="shared" si="56"/>
        <v>715.10321208888899</v>
      </c>
      <c r="K109" s="38">
        <f t="shared" si="56"/>
        <v>744.87249426962956</v>
      </c>
      <c r="L109" s="38">
        <f t="shared" si="56"/>
        <v>774.90042477985185</v>
      </c>
      <c r="M109" s="38">
        <f t="shared" si="56"/>
        <v>804.98008495597037</v>
      </c>
      <c r="N109" s="38">
        <f t="shared" si="56"/>
        <v>835.07009106526823</v>
      </c>
      <c r="O109" s="38">
        <f t="shared" si="56"/>
        <v>865.16216636120191</v>
      </c>
      <c r="P109" s="8" t="b">
        <f>ROUND(O109,0)=ROUND(Q109,0)</f>
        <v>1</v>
      </c>
      <c r="Q109" s="71">
        <v>865</v>
      </c>
    </row>
    <row r="110" spans="1:18" ht="18" customHeight="1" x14ac:dyDescent="0.2">
      <c r="A110" s="10" t="s">
        <v>60</v>
      </c>
      <c r="B110" s="11">
        <v>0.8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8"/>
    </row>
    <row r="111" spans="1:18" ht="12.75" customHeight="1" x14ac:dyDescent="0.15">
      <c r="A111" s="33"/>
      <c r="B111" s="39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8"/>
    </row>
    <row r="112" spans="1:18" ht="18" customHeight="1" x14ac:dyDescent="0.2">
      <c r="A112" s="6" t="s">
        <v>61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8"/>
    </row>
    <row r="113" spans="1:18" ht="18" customHeight="1" x14ac:dyDescent="0.2">
      <c r="A113" s="40" t="s">
        <v>62</v>
      </c>
      <c r="B113" s="33"/>
      <c r="C113" s="33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8"/>
    </row>
    <row r="114" spans="1:18" ht="15" customHeight="1" x14ac:dyDescent="0.2">
      <c r="A114" s="42" t="s">
        <v>63</v>
      </c>
      <c r="B114" s="43"/>
      <c r="C114" s="43"/>
      <c r="D114" s="44">
        <f t="shared" ref="D114:O114" si="57">C44+C23</f>
        <v>841.46762500740749</v>
      </c>
      <c r="E114" s="44">
        <f t="shared" si="57"/>
        <v>630.91071546179523</v>
      </c>
      <c r="F114" s="44">
        <f t="shared" si="57"/>
        <v>560.20508197986373</v>
      </c>
      <c r="G114" s="44">
        <f t="shared" si="57"/>
        <v>524.53614987527158</v>
      </c>
      <c r="H114" s="44">
        <f t="shared" si="57"/>
        <v>502.39933217795613</v>
      </c>
      <c r="I114" s="44">
        <f t="shared" si="57"/>
        <v>488.55383692998686</v>
      </c>
      <c r="J114" s="44">
        <f t="shared" si="57"/>
        <v>480.97722826651113</v>
      </c>
      <c r="K114" s="44">
        <f t="shared" si="57"/>
        <v>478.38778051936163</v>
      </c>
      <c r="L114" s="44">
        <f t="shared" si="57"/>
        <v>479.78536627228505</v>
      </c>
      <c r="M114" s="44">
        <f t="shared" si="57"/>
        <v>484.35829071000558</v>
      </c>
      <c r="N114" s="44">
        <f t="shared" si="57"/>
        <v>491.4497122891338</v>
      </c>
      <c r="O114" s="44">
        <f t="shared" si="57"/>
        <v>500.5325318588786</v>
      </c>
      <c r="P114" s="8" t="b">
        <f>ROUND(O114,0)=ROUND(Q114,0)</f>
        <v>1</v>
      </c>
      <c r="Q114" s="71">
        <v>501</v>
      </c>
    </row>
    <row r="115" spans="1:18" ht="15" customHeight="1" x14ac:dyDescent="0.2">
      <c r="A115" s="42" t="s">
        <v>64</v>
      </c>
      <c r="B115" s="43"/>
      <c r="C115" s="43"/>
      <c r="D115" s="44">
        <f t="shared" ref="D115:O115" si="58">C45+C24</f>
        <v>219.01771562666667</v>
      </c>
      <c r="E115" s="44">
        <f t="shared" si="58"/>
        <v>173.20491097890391</v>
      </c>
      <c r="F115" s="44">
        <f t="shared" si="58"/>
        <v>158.85864344546931</v>
      </c>
      <c r="G115" s="44">
        <f t="shared" si="58"/>
        <v>152.39563372193606</v>
      </c>
      <c r="H115" s="44">
        <f t="shared" si="58"/>
        <v>148.97734974004013</v>
      </c>
      <c r="I115" s="44">
        <f t="shared" si="58"/>
        <v>147.42461330924704</v>
      </c>
      <c r="J115" s="44">
        <f t="shared" si="58"/>
        <v>147.28237635996499</v>
      </c>
      <c r="K115" s="44">
        <f t="shared" si="58"/>
        <v>148.26225061685636</v>
      </c>
      <c r="L115" s="44">
        <f t="shared" si="58"/>
        <v>150.13920741126412</v>
      </c>
      <c r="M115" s="44">
        <f t="shared" si="58"/>
        <v>152.73061540975124</v>
      </c>
      <c r="N115" s="44">
        <f t="shared" si="58"/>
        <v>155.8886852650551</v>
      </c>
      <c r="O115" s="44">
        <f t="shared" si="58"/>
        <v>159.49481966824769</v>
      </c>
      <c r="P115" s="8" t="b">
        <f>ROUND(O115,0)=ROUND(Q115,0)</f>
        <v>1</v>
      </c>
      <c r="Q115" s="71">
        <v>159</v>
      </c>
    </row>
    <row r="116" spans="1:18" ht="15" customHeight="1" x14ac:dyDescent="0.2">
      <c r="A116" s="42" t="s">
        <v>65</v>
      </c>
      <c r="B116" s="43"/>
      <c r="C116" s="43"/>
      <c r="D116" s="44">
        <f t="shared" ref="D116:O116" si="59">C46+C25</f>
        <v>24.335301736296305</v>
      </c>
      <c r="E116" s="44">
        <f t="shared" si="59"/>
        <v>19.244990108766967</v>
      </c>
      <c r="F116" s="44">
        <f t="shared" si="59"/>
        <v>17.650960382829876</v>
      </c>
      <c r="G116" s="44">
        <f t="shared" si="59"/>
        <v>16.932848191326151</v>
      </c>
      <c r="H116" s="44">
        <f t="shared" si="59"/>
        <v>16.553038860004349</v>
      </c>
      <c r="I116" s="44">
        <f t="shared" si="59"/>
        <v>16.380512589916314</v>
      </c>
      <c r="J116" s="44">
        <f t="shared" si="59"/>
        <v>16.364708484440616</v>
      </c>
      <c r="K116" s="44">
        <f t="shared" si="59"/>
        <v>16.473583401873071</v>
      </c>
      <c r="L116" s="44">
        <f t="shared" si="59"/>
        <v>16.682134156807123</v>
      </c>
      <c r="M116" s="44">
        <f t="shared" si="59"/>
        <v>16.970068378861107</v>
      </c>
      <c r="N116" s="44">
        <f t="shared" si="59"/>
        <v>17.320965029450509</v>
      </c>
      <c r="O116" s="44">
        <f t="shared" si="59"/>
        <v>17.721646629805324</v>
      </c>
      <c r="P116" s="8" t="b">
        <f>ROUND(O116,0)=ROUND(Q116,0)</f>
        <v>1</v>
      </c>
      <c r="Q116" s="71">
        <v>18</v>
      </c>
    </row>
    <row r="117" spans="1:18" ht="12.75" customHeight="1" x14ac:dyDescent="0.15">
      <c r="A117" s="33"/>
      <c r="B117" s="33"/>
      <c r="C117" s="33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8"/>
    </row>
    <row r="118" spans="1:18" ht="18" customHeight="1" x14ac:dyDescent="0.2">
      <c r="A118" s="40" t="s">
        <v>66</v>
      </c>
      <c r="B118" s="33"/>
      <c r="C118" s="33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8"/>
      <c r="Q118" s="72"/>
      <c r="R118" s="18"/>
    </row>
    <row r="119" spans="1:18" ht="15" customHeight="1" x14ac:dyDescent="0.2">
      <c r="A119" s="42" t="s">
        <v>63</v>
      </c>
      <c r="B119" s="33"/>
      <c r="C119" s="33"/>
      <c r="D119" s="45">
        <f t="shared" ref="D119:O119" si="60">C124-C73-C94+C68+C88+C83</f>
        <v>5677.7930000000006</v>
      </c>
      <c r="E119" s="45">
        <f t="shared" si="60"/>
        <v>4876.8797118116336</v>
      </c>
      <c r="F119" s="45">
        <f t="shared" si="60"/>
        <v>4063.5746533014099</v>
      </c>
      <c r="G119" s="45">
        <f t="shared" si="60"/>
        <v>3414.9159168782785</v>
      </c>
      <c r="H119" s="45">
        <f t="shared" si="60"/>
        <v>2921.7924174352652</v>
      </c>
      <c r="I119" s="45">
        <f t="shared" si="60"/>
        <v>2551.7026688232095</v>
      </c>
      <c r="J119" s="45">
        <f t="shared" si="60"/>
        <v>2276.1740207429357</v>
      </c>
      <c r="K119" s="45">
        <f t="shared" si="60"/>
        <v>2073.3304694876206</v>
      </c>
      <c r="L119" s="45">
        <f t="shared" si="60"/>
        <v>1926.6423974859872</v>
      </c>
      <c r="M119" s="45">
        <f t="shared" si="60"/>
        <v>1823.5474119253665</v>
      </c>
      <c r="N119" s="45">
        <f t="shared" si="60"/>
        <v>1754.4156619273981</v>
      </c>
      <c r="O119" s="46">
        <f t="shared" si="60"/>
        <v>1711.8121557110567</v>
      </c>
      <c r="P119" s="8" t="b">
        <f>ROUND(O119,0)=ROUND(Q119,0)</f>
        <v>1</v>
      </c>
      <c r="Q119" s="72">
        <v>1712</v>
      </c>
      <c r="R119" s="18"/>
    </row>
    <row r="120" spans="1:18" ht="15" customHeight="1" x14ac:dyDescent="0.2">
      <c r="A120" s="42" t="s">
        <v>64</v>
      </c>
      <c r="B120" s="33"/>
      <c r="C120" s="33"/>
      <c r="D120" s="45">
        <f t="shared" ref="D120:O120" si="61">C125+C74-C78-C83+C89-C98+C69</f>
        <v>2340.2115000000003</v>
      </c>
      <c r="E120" s="45">
        <f t="shared" si="61"/>
        <v>2350.714235391938</v>
      </c>
      <c r="F120" s="45">
        <f t="shared" si="61"/>
        <v>2142.7100864208064</v>
      </c>
      <c r="G120" s="45">
        <f t="shared" si="61"/>
        <v>1890.2724647591556</v>
      </c>
      <c r="H120" s="45">
        <f t="shared" si="61"/>
        <v>1654.9864417982963</v>
      </c>
      <c r="I120" s="45">
        <f t="shared" si="61"/>
        <v>1455.8629914710984</v>
      </c>
      <c r="J120" s="45">
        <f t="shared" si="61"/>
        <v>1295.5377332181515</v>
      </c>
      <c r="K120" s="45">
        <f t="shared" si="61"/>
        <v>1170.6410520052086</v>
      </c>
      <c r="L120" s="45">
        <f t="shared" si="61"/>
        <v>1076.0101137362392</v>
      </c>
      <c r="M120" s="45">
        <f t="shared" si="61"/>
        <v>1006.3823076457575</v>
      </c>
      <c r="N120" s="45">
        <f t="shared" si="61"/>
        <v>957.02699670036407</v>
      </c>
      <c r="O120" s="46">
        <f t="shared" si="61"/>
        <v>923.92603701381756</v>
      </c>
      <c r="P120" s="8" t="b">
        <f>ROUND(O120,0)=ROUND(Q120,0)</f>
        <v>1</v>
      </c>
      <c r="Q120" s="71">
        <v>924</v>
      </c>
    </row>
    <row r="121" spans="1:18" ht="15" customHeight="1" x14ac:dyDescent="0.2">
      <c r="A121" s="42" t="s">
        <v>65</v>
      </c>
      <c r="B121" s="33"/>
      <c r="C121" s="33"/>
      <c r="D121" s="45">
        <f t="shared" ref="D121:O121" si="62">C126-C87-C102+C70+C75+C78</f>
        <v>406.64299999999997</v>
      </c>
      <c r="E121" s="45">
        <f t="shared" si="62"/>
        <v>254.46324119748147</v>
      </c>
      <c r="F121" s="45">
        <f t="shared" si="62"/>
        <v>182.50610968910999</v>
      </c>
      <c r="G121" s="45">
        <f t="shared" si="62"/>
        <v>144.01638375882808</v>
      </c>
      <c r="H121" s="45">
        <f t="shared" si="62"/>
        <v>120.31797000594752</v>
      </c>
      <c r="I121" s="45">
        <f t="shared" si="62"/>
        <v>104.069578846024</v>
      </c>
      <c r="J121" s="45">
        <f t="shared" si="62"/>
        <v>92.258647710822714</v>
      </c>
      <c r="K121" s="45">
        <f t="shared" si="62"/>
        <v>83.496732851507829</v>
      </c>
      <c r="L121" s="45">
        <f t="shared" si="62"/>
        <v>77.019236602674852</v>
      </c>
      <c r="M121" s="45">
        <f t="shared" si="62"/>
        <v>72.323804915944905</v>
      </c>
      <c r="N121" s="45">
        <f t="shared" si="62"/>
        <v>69.039352607230427</v>
      </c>
      <c r="O121" s="46">
        <f t="shared" si="62"/>
        <v>66.875959945355859</v>
      </c>
      <c r="P121" s="8" t="b">
        <f>ROUND(O121,0)=ROUND(Q121,0)</f>
        <v>1</v>
      </c>
      <c r="Q121" s="71">
        <v>67</v>
      </c>
    </row>
    <row r="122" spans="1:18" ht="15" customHeight="1" x14ac:dyDescent="0.2">
      <c r="A122" s="42"/>
      <c r="B122" s="33"/>
      <c r="C122" s="43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8"/>
      <c r="Q122" s="72"/>
      <c r="R122" s="18"/>
    </row>
    <row r="123" spans="1:18" ht="18" customHeight="1" x14ac:dyDescent="0.2">
      <c r="A123" s="40" t="s">
        <v>67</v>
      </c>
      <c r="B123" s="33"/>
      <c r="C123" s="37">
        <f>SUM(C124:C126)</f>
        <v>9791</v>
      </c>
      <c r="D123" s="46">
        <f t="shared" ref="D123:O123" si="63">D124+D125+D126</f>
        <v>9509.4681423703714</v>
      </c>
      <c r="E123" s="46">
        <f t="shared" si="63"/>
        <v>8305.417804950519</v>
      </c>
      <c r="F123" s="46">
        <f t="shared" si="63"/>
        <v>7125.5055352194904</v>
      </c>
      <c r="G123" s="46">
        <f t="shared" si="63"/>
        <v>6143.0693971847959</v>
      </c>
      <c r="H123" s="46">
        <f t="shared" si="63"/>
        <v>5365.0265500175101</v>
      </c>
      <c r="I123" s="46">
        <f t="shared" si="63"/>
        <v>4763.9942019694827</v>
      </c>
      <c r="J123" s="46">
        <f t="shared" si="63"/>
        <v>4308.5947147828265</v>
      </c>
      <c r="K123" s="46">
        <f t="shared" si="63"/>
        <v>3970.5918688824281</v>
      </c>
      <c r="L123" s="46">
        <f t="shared" si="63"/>
        <v>3726.2784556652573</v>
      </c>
      <c r="M123" s="46">
        <f t="shared" si="63"/>
        <v>3556.3124989856869</v>
      </c>
      <c r="N123" s="46">
        <f t="shared" si="63"/>
        <v>3445.1413738186325</v>
      </c>
      <c r="O123" s="46">
        <f t="shared" si="63"/>
        <v>3380.3631508271615</v>
      </c>
      <c r="P123" s="8" t="b">
        <f>ROUND(O123,0)=ROUND(Q123,0)</f>
        <v>1</v>
      </c>
      <c r="Q123" s="72">
        <v>3380</v>
      </c>
      <c r="R123" s="18"/>
    </row>
    <row r="124" spans="1:18" ht="16.5" customHeight="1" x14ac:dyDescent="0.2">
      <c r="A124" s="42" t="s">
        <v>63</v>
      </c>
      <c r="B124" s="33"/>
      <c r="C124" s="37">
        <v>6961</v>
      </c>
      <c r="D124" s="46">
        <f t="shared" ref="D124:O124" si="64">D119+D114</f>
        <v>6519.2606250074077</v>
      </c>
      <c r="E124" s="46">
        <f t="shared" si="64"/>
        <v>5507.7904272734286</v>
      </c>
      <c r="F124" s="46">
        <f t="shared" si="64"/>
        <v>4623.779735281274</v>
      </c>
      <c r="G124" s="46">
        <f t="shared" si="64"/>
        <v>3939.4520667535498</v>
      </c>
      <c r="H124" s="46">
        <f t="shared" si="64"/>
        <v>3424.1917496132214</v>
      </c>
      <c r="I124" s="46">
        <f t="shared" si="64"/>
        <v>3040.2565057531965</v>
      </c>
      <c r="J124" s="46">
        <f t="shared" si="64"/>
        <v>2757.1512490094469</v>
      </c>
      <c r="K124" s="46">
        <f t="shared" si="64"/>
        <v>2551.7182500069821</v>
      </c>
      <c r="L124" s="46">
        <f t="shared" si="64"/>
        <v>2406.4277637582722</v>
      </c>
      <c r="M124" s="46">
        <f t="shared" si="64"/>
        <v>2307.9057026353721</v>
      </c>
      <c r="N124" s="46">
        <f t="shared" si="64"/>
        <v>2245.865374216532</v>
      </c>
      <c r="O124" s="46">
        <f t="shared" si="64"/>
        <v>2212.3446875699351</v>
      </c>
      <c r="P124" s="8" t="b">
        <f>ROUND(O124,0)=ROUND(Q124,0)</f>
        <v>1</v>
      </c>
      <c r="Q124" s="72">
        <v>2212</v>
      </c>
      <c r="R124" s="18"/>
    </row>
    <row r="125" spans="1:18" ht="16.5" customHeight="1" x14ac:dyDescent="0.2">
      <c r="A125" s="42" t="s">
        <v>64</v>
      </c>
      <c r="B125" s="33"/>
      <c r="C125" s="37">
        <v>2037</v>
      </c>
      <c r="D125" s="46">
        <f t="shared" ref="D125:O125" si="65">D120+D115</f>
        <v>2559.2292156266672</v>
      </c>
      <c r="E125" s="46">
        <f t="shared" si="65"/>
        <v>2523.9191463708421</v>
      </c>
      <c r="F125" s="46">
        <f t="shared" si="65"/>
        <v>2301.5687298662756</v>
      </c>
      <c r="G125" s="46">
        <f t="shared" si="65"/>
        <v>2042.6680984810916</v>
      </c>
      <c r="H125" s="46">
        <f t="shared" si="65"/>
        <v>1803.9637915383364</v>
      </c>
      <c r="I125" s="46">
        <f t="shared" si="65"/>
        <v>1603.2876047803454</v>
      </c>
      <c r="J125" s="46">
        <f t="shared" si="65"/>
        <v>1442.8201095781164</v>
      </c>
      <c r="K125" s="46">
        <f t="shared" si="65"/>
        <v>1318.903302622065</v>
      </c>
      <c r="L125" s="46">
        <f t="shared" si="65"/>
        <v>1226.1493211475033</v>
      </c>
      <c r="M125" s="46">
        <f t="shared" si="65"/>
        <v>1159.1129230555086</v>
      </c>
      <c r="N125" s="46">
        <f t="shared" si="65"/>
        <v>1112.9156819654193</v>
      </c>
      <c r="O125" s="46">
        <f t="shared" si="65"/>
        <v>1083.4208566820653</v>
      </c>
      <c r="P125" s="8" t="b">
        <f>ROUND(O125,0)=ROUND(Q125,0)</f>
        <v>1</v>
      </c>
      <c r="Q125" s="72">
        <v>1083</v>
      </c>
      <c r="R125" s="18"/>
    </row>
    <row r="126" spans="1:18" ht="16.5" customHeight="1" x14ac:dyDescent="0.2">
      <c r="A126" s="42" t="s">
        <v>65</v>
      </c>
      <c r="B126" s="33"/>
      <c r="C126" s="37">
        <v>793</v>
      </c>
      <c r="D126" s="46">
        <f t="shared" ref="D126:O126" si="66">D121+D116</f>
        <v>430.97830173629626</v>
      </c>
      <c r="E126" s="46">
        <f t="shared" si="66"/>
        <v>273.70823130624842</v>
      </c>
      <c r="F126" s="46">
        <f t="shared" si="66"/>
        <v>200.15707007193987</v>
      </c>
      <c r="G126" s="46">
        <f t="shared" si="66"/>
        <v>160.94923195015423</v>
      </c>
      <c r="H126" s="46">
        <f t="shared" si="66"/>
        <v>136.87100886595186</v>
      </c>
      <c r="I126" s="46">
        <f t="shared" si="66"/>
        <v>120.45009143594032</v>
      </c>
      <c r="J126" s="46">
        <f t="shared" si="66"/>
        <v>108.62335619526333</v>
      </c>
      <c r="K126" s="46">
        <f t="shared" si="66"/>
        <v>99.970316253380901</v>
      </c>
      <c r="L126" s="46">
        <f t="shared" si="66"/>
        <v>93.701370759481975</v>
      </c>
      <c r="M126" s="46">
        <f t="shared" si="66"/>
        <v>89.293873294806019</v>
      </c>
      <c r="N126" s="46">
        <f t="shared" si="66"/>
        <v>86.360317636680932</v>
      </c>
      <c r="O126" s="46">
        <f t="shared" si="66"/>
        <v>84.59760657516118</v>
      </c>
      <c r="P126" s="8" t="b">
        <f>ROUND(O126,0)=ROUND(Q126,0)</f>
        <v>1</v>
      </c>
      <c r="Q126" s="71">
        <v>85</v>
      </c>
    </row>
    <row r="127" spans="1:18" ht="15" customHeight="1" x14ac:dyDescent="0.2">
      <c r="A127" s="48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8"/>
    </row>
    <row r="128" spans="1:18" ht="18" customHeight="1" x14ac:dyDescent="0.2">
      <c r="A128" s="6" t="s">
        <v>68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8"/>
    </row>
    <row r="129" spans="1:17" ht="15" customHeight="1" x14ac:dyDescent="0.2">
      <c r="A129" s="48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8"/>
    </row>
    <row r="130" spans="1:17" ht="18" customHeight="1" x14ac:dyDescent="0.2">
      <c r="A130" s="40" t="s">
        <v>69</v>
      </c>
      <c r="B130" s="33"/>
      <c r="C130" s="33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8"/>
    </row>
    <row r="131" spans="1:17" ht="15" customHeight="1" x14ac:dyDescent="0.2">
      <c r="A131" s="42" t="s">
        <v>70</v>
      </c>
      <c r="B131" s="33"/>
      <c r="C131" s="45">
        <f t="shared" ref="C131:O131" si="67">C68</f>
        <v>684.88000000000011</v>
      </c>
      <c r="D131" s="45">
        <f t="shared" si="67"/>
        <v>182.71674074074073</v>
      </c>
      <c r="E131" s="45">
        <f t="shared" si="67"/>
        <v>84.691496296296307</v>
      </c>
      <c r="F131" s="45">
        <f t="shared" si="67"/>
        <v>67.49385481481481</v>
      </c>
      <c r="G131" s="45">
        <f t="shared" si="67"/>
        <v>66.461733925925941</v>
      </c>
      <c r="H131" s="45">
        <f t="shared" si="67"/>
        <v>68.662717155555569</v>
      </c>
      <c r="I131" s="45">
        <f t="shared" si="67"/>
        <v>71.510321208888897</v>
      </c>
      <c r="J131" s="45">
        <f t="shared" si="67"/>
        <v>74.487249426962961</v>
      </c>
      <c r="K131" s="45">
        <f t="shared" si="67"/>
        <v>77.490042477985185</v>
      </c>
      <c r="L131" s="45">
        <f t="shared" si="67"/>
        <v>80.498008495597048</v>
      </c>
      <c r="M131" s="45">
        <f t="shared" si="67"/>
        <v>83.507009106526823</v>
      </c>
      <c r="N131" s="45">
        <f t="shared" si="67"/>
        <v>86.516216636120191</v>
      </c>
      <c r="O131" s="46">
        <f t="shared" si="67"/>
        <v>89.525465549446281</v>
      </c>
      <c r="P131" s="8" t="b">
        <f>ROUND(O131,0)=ROUND(Q131,0)</f>
        <v>1</v>
      </c>
      <c r="Q131" s="71">
        <v>90</v>
      </c>
    </row>
    <row r="132" spans="1:17" ht="15" customHeight="1" x14ac:dyDescent="0.2">
      <c r="A132" s="42" t="s">
        <v>71</v>
      </c>
      <c r="B132" s="33"/>
      <c r="C132" s="45">
        <f t="shared" ref="C132:O132" si="68">C69+C74</f>
        <v>947.65199999999982</v>
      </c>
      <c r="D132" s="45">
        <f t="shared" si="68"/>
        <v>784.30697791751118</v>
      </c>
      <c r="E132" s="45">
        <f t="shared" si="68"/>
        <v>646.94369537583748</v>
      </c>
      <c r="F132" s="45">
        <f t="shared" si="68"/>
        <v>542.29700715539855</v>
      </c>
      <c r="G132" s="45">
        <f t="shared" si="68"/>
        <v>464.05142574323798</v>
      </c>
      <c r="H132" s="45">
        <f t="shared" si="68"/>
        <v>405.80697081590728</v>
      </c>
      <c r="I132" s="45">
        <f t="shared" si="68"/>
        <v>362.67906392786438</v>
      </c>
      <c r="J132" s="45">
        <f t="shared" si="68"/>
        <v>331.07487350814358</v>
      </c>
      <c r="K132" s="45">
        <f t="shared" si="68"/>
        <v>308.33114005834261</v>
      </c>
      <c r="L132" s="45">
        <f t="shared" si="68"/>
        <v>292.44481697995241</v>
      </c>
      <c r="M132" s="45">
        <f t="shared" si="68"/>
        <v>281.89032714940089</v>
      </c>
      <c r="N132" s="45">
        <f t="shared" si="68"/>
        <v>275.49480140381172</v>
      </c>
      <c r="O132" s="46">
        <f t="shared" si="68"/>
        <v>272.35052413159804</v>
      </c>
      <c r="P132" s="8" t="b">
        <f>ROUND(O132,0)=ROUND(Q132,0)</f>
        <v>1</v>
      </c>
      <c r="Q132" s="71">
        <v>272</v>
      </c>
    </row>
    <row r="133" spans="1:17" ht="15" customHeight="1" x14ac:dyDescent="0.2">
      <c r="A133" s="42" t="s">
        <v>72</v>
      </c>
      <c r="B133" s="33"/>
      <c r="C133" s="45">
        <f t="shared" ref="C133:O133" si="69">C70+C75+C78</f>
        <v>89.442999999999998</v>
      </c>
      <c r="D133" s="45">
        <f t="shared" si="69"/>
        <v>82.071920502962982</v>
      </c>
      <c r="E133" s="45">
        <f t="shared" si="69"/>
        <v>73.022817166610622</v>
      </c>
      <c r="F133" s="45">
        <f t="shared" si="69"/>
        <v>63.953555730052159</v>
      </c>
      <c r="G133" s="45">
        <f t="shared" si="69"/>
        <v>55.938277225885827</v>
      </c>
      <c r="H133" s="45">
        <f t="shared" si="69"/>
        <v>49.321175299643265</v>
      </c>
      <c r="I133" s="45">
        <f t="shared" si="69"/>
        <v>44.078611136446582</v>
      </c>
      <c r="J133" s="45">
        <f t="shared" si="69"/>
        <v>40.047390373402507</v>
      </c>
      <c r="K133" s="45">
        <f t="shared" si="69"/>
        <v>37.031110101322497</v>
      </c>
      <c r="L133" s="45">
        <f t="shared" si="69"/>
        <v>34.843256612152118</v>
      </c>
      <c r="M133" s="45">
        <f t="shared" si="69"/>
        <v>33.321803289308036</v>
      </c>
      <c r="N133" s="45">
        <f t="shared" si="69"/>
        <v>32.331832890683486</v>
      </c>
      <c r="O133" s="46">
        <f t="shared" si="69"/>
        <v>31.76351761438675</v>
      </c>
      <c r="P133" s="8" t="b">
        <f>ROUND(O133,0)=ROUND(Q133,0)</f>
        <v>1</v>
      </c>
      <c r="Q133" s="71">
        <v>32</v>
      </c>
    </row>
    <row r="134" spans="1:17" ht="18" customHeight="1" x14ac:dyDescent="0.2">
      <c r="A134" s="40"/>
      <c r="B134" s="33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8"/>
    </row>
    <row r="135" spans="1:17" ht="18" customHeight="1" x14ac:dyDescent="0.2">
      <c r="A135" s="40" t="s">
        <v>73</v>
      </c>
      <c r="B135" s="33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8"/>
    </row>
    <row r="136" spans="1:17" ht="15" customHeight="1" x14ac:dyDescent="0.2">
      <c r="A136" s="42" t="s">
        <v>74</v>
      </c>
      <c r="B136" s="33"/>
      <c r="C136" s="45">
        <f t="shared" ref="C136:O136" si="70">C83+C88</f>
        <v>120.21300000000002</v>
      </c>
      <c r="D136" s="45">
        <f t="shared" si="70"/>
        <v>130.6805335657067</v>
      </c>
      <c r="E136" s="45">
        <f t="shared" si="70"/>
        <v>123.42985791371285</v>
      </c>
      <c r="F136" s="45">
        <f t="shared" si="70"/>
        <v>110.77624736657225</v>
      </c>
      <c r="G136" s="45">
        <f t="shared" si="70"/>
        <v>97.714236781854694</v>
      </c>
      <c r="H136" s="45">
        <f t="shared" si="70"/>
        <v>86.105726938399414</v>
      </c>
      <c r="I136" s="45">
        <f t="shared" si="70"/>
        <v>76.484145506809398</v>
      </c>
      <c r="J136" s="45">
        <f t="shared" si="70"/>
        <v>68.837345754044719</v>
      </c>
      <c r="K136" s="45">
        <f t="shared" si="70"/>
        <v>62.949580003114647</v>
      </c>
      <c r="L136" s="45">
        <f t="shared" si="70"/>
        <v>58.549968798979002</v>
      </c>
      <c r="M136" s="45">
        <f t="shared" si="70"/>
        <v>55.37466097611091</v>
      </c>
      <c r="N136" s="45">
        <f t="shared" si="70"/>
        <v>53.190177123364386</v>
      </c>
      <c r="O136" s="46">
        <f t="shared" si="70"/>
        <v>51.799452387398745</v>
      </c>
      <c r="P136" s="8" t="b">
        <f>ROUND(O136,0)=ROUND(Q136,0)</f>
        <v>1</v>
      </c>
      <c r="Q136" s="71">
        <v>52</v>
      </c>
    </row>
    <row r="137" spans="1:17" ht="15" customHeight="1" x14ac:dyDescent="0.2">
      <c r="A137" s="42" t="s">
        <v>75</v>
      </c>
      <c r="B137" s="33"/>
      <c r="C137" s="45">
        <f t="shared" ref="C137:O137" si="71">C89</f>
        <v>256.93200000000007</v>
      </c>
      <c r="D137" s="45">
        <f t="shared" si="71"/>
        <v>139.63696976256003</v>
      </c>
      <c r="E137" s="45">
        <f t="shared" si="71"/>
        <v>88.681466943224493</v>
      </c>
      <c r="F137" s="45">
        <f t="shared" si="71"/>
        <v>64.850890703308522</v>
      </c>
      <c r="G137" s="45">
        <f t="shared" si="71"/>
        <v>52.147551151849974</v>
      </c>
      <c r="H137" s="45">
        <f t="shared" si="71"/>
        <v>44.346206872568409</v>
      </c>
      <c r="I137" s="45">
        <f t="shared" si="71"/>
        <v>39.025829625244668</v>
      </c>
      <c r="J137" s="45">
        <f t="shared" si="71"/>
        <v>35.193967407265319</v>
      </c>
      <c r="K137" s="45">
        <f t="shared" si="71"/>
        <v>32.390382466095417</v>
      </c>
      <c r="L137" s="45">
        <f t="shared" si="71"/>
        <v>30.359244126072163</v>
      </c>
      <c r="M137" s="45">
        <f t="shared" si="71"/>
        <v>28.931214947517155</v>
      </c>
      <c r="N137" s="45">
        <f t="shared" si="71"/>
        <v>27.980742914284622</v>
      </c>
      <c r="O137" s="46">
        <f t="shared" si="71"/>
        <v>27.409624530352229</v>
      </c>
      <c r="P137" s="8" t="b">
        <f>ROUND(O137,0)=ROUND(Q137,0)</f>
        <v>1</v>
      </c>
      <c r="Q137" s="71">
        <v>27</v>
      </c>
    </row>
    <row r="138" spans="1:17" ht="15" customHeight="1" x14ac:dyDescent="0.2">
      <c r="A138" s="48"/>
      <c r="B138" s="43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8"/>
    </row>
    <row r="139" spans="1:17" ht="18" customHeight="1" x14ac:dyDescent="0.2">
      <c r="A139" s="40" t="s">
        <v>76</v>
      </c>
      <c r="B139" s="43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1"/>
      <c r="P139" s="8"/>
    </row>
    <row r="140" spans="1:17" ht="15" customHeight="1" x14ac:dyDescent="0.2">
      <c r="A140" s="42" t="s">
        <v>77</v>
      </c>
      <c r="B140" s="43"/>
      <c r="C140" s="46">
        <f t="shared" ref="C140:O140" si="72">SUM(C141:C143)</f>
        <v>2222.4524999999999</v>
      </c>
      <c r="D140" s="46">
        <f t="shared" si="72"/>
        <v>2255.8068798952449</v>
      </c>
      <c r="E140" s="46">
        <f t="shared" si="72"/>
        <v>2022.491325909564</v>
      </c>
      <c r="F140" s="46">
        <f t="shared" si="72"/>
        <v>1760.6680883417455</v>
      </c>
      <c r="G140" s="46">
        <f t="shared" si="72"/>
        <v>1529.0497353526937</v>
      </c>
      <c r="H140" s="46">
        <f t="shared" si="72"/>
        <v>1339.2197073216221</v>
      </c>
      <c r="I140" s="46">
        <f t="shared" si="72"/>
        <v>1189.4117018086833</v>
      </c>
      <c r="J140" s="46">
        <f t="shared" si="72"/>
        <v>1074.2355222221931</v>
      </c>
      <c r="K140" s="46">
        <f t="shared" si="72"/>
        <v>987.78267415500818</v>
      </c>
      <c r="L140" s="46">
        <f t="shared" si="72"/>
        <v>924.64744179768479</v>
      </c>
      <c r="M140" s="46">
        <f t="shared" si="72"/>
        <v>880.21424913385249</v>
      </c>
      <c r="N140" s="46">
        <f t="shared" si="72"/>
        <v>850.67249194355213</v>
      </c>
      <c r="O140" s="46">
        <f t="shared" si="72"/>
        <v>832.93394702151704</v>
      </c>
      <c r="P140" s="8" t="b">
        <f>ROUND(O140,0)=ROUND(Q140,0)</f>
        <v>1</v>
      </c>
      <c r="Q140" s="71">
        <v>833</v>
      </c>
    </row>
    <row r="141" spans="1:17" ht="15" customHeight="1" x14ac:dyDescent="0.2">
      <c r="A141" s="42" t="s">
        <v>63</v>
      </c>
      <c r="B141" s="43"/>
      <c r="C141" s="46">
        <f t="shared" ref="C141:O141" si="73">C94</f>
        <v>1252.98</v>
      </c>
      <c r="D141" s="46">
        <f t="shared" si="73"/>
        <v>1173.4669125013336</v>
      </c>
      <c r="E141" s="46">
        <f t="shared" si="73"/>
        <v>991.40227690921733</v>
      </c>
      <c r="F141" s="46">
        <f t="shared" si="73"/>
        <v>832.28035235062941</v>
      </c>
      <c r="G141" s="46">
        <f t="shared" si="73"/>
        <v>709.10137201563896</v>
      </c>
      <c r="H141" s="46">
        <f t="shared" si="73"/>
        <v>616.35451493037988</v>
      </c>
      <c r="I141" s="46">
        <f t="shared" si="73"/>
        <v>547.24617103557546</v>
      </c>
      <c r="J141" s="46">
        <f t="shared" si="73"/>
        <v>496.28722482170048</v>
      </c>
      <c r="K141" s="46">
        <f t="shared" si="73"/>
        <v>459.3092850012568</v>
      </c>
      <c r="L141" s="46">
        <f t="shared" si="73"/>
        <v>433.15699747648904</v>
      </c>
      <c r="M141" s="46">
        <f t="shared" si="73"/>
        <v>415.42302647436702</v>
      </c>
      <c r="N141" s="46">
        <f t="shared" si="73"/>
        <v>404.25576735897579</v>
      </c>
      <c r="O141" s="46">
        <f t="shared" si="73"/>
        <v>398.22204376258833</v>
      </c>
      <c r="P141" s="8" t="b">
        <f>ROUND(O141,0)=ROUND(Q141,0)</f>
        <v>1</v>
      </c>
      <c r="Q141" s="71">
        <v>398</v>
      </c>
    </row>
    <row r="142" spans="1:17" ht="15" customHeight="1" x14ac:dyDescent="0.2">
      <c r="A142" s="42" t="s">
        <v>64</v>
      </c>
      <c r="B142" s="43"/>
      <c r="C142" s="46">
        <f t="shared" ref="C142:O142" si="74">C98</f>
        <v>779.15249999999992</v>
      </c>
      <c r="D142" s="46">
        <f t="shared" si="74"/>
        <v>978.9051749772002</v>
      </c>
      <c r="E142" s="46">
        <f t="shared" si="74"/>
        <v>965.3990734868471</v>
      </c>
      <c r="F142" s="46">
        <f t="shared" si="74"/>
        <v>880.3500391738504</v>
      </c>
      <c r="G142" s="46">
        <f t="shared" si="74"/>
        <v>781.32054766901751</v>
      </c>
      <c r="H142" s="46">
        <f t="shared" si="74"/>
        <v>690.01615026341369</v>
      </c>
      <c r="I142" s="46">
        <f t="shared" si="74"/>
        <v>613.25750882848206</v>
      </c>
      <c r="J142" s="46">
        <f t="shared" si="74"/>
        <v>551.87869191362961</v>
      </c>
      <c r="K142" s="46">
        <f t="shared" si="74"/>
        <v>504.48051325293989</v>
      </c>
      <c r="L142" s="46">
        <f t="shared" si="74"/>
        <v>469.00211533892008</v>
      </c>
      <c r="M142" s="46">
        <f t="shared" si="74"/>
        <v>443.36069306873202</v>
      </c>
      <c r="N142" s="46">
        <f t="shared" si="74"/>
        <v>425.69024835177288</v>
      </c>
      <c r="O142" s="46">
        <f t="shared" si="74"/>
        <v>414.40847768088997</v>
      </c>
      <c r="P142" s="8" t="b">
        <f>ROUND(O142,0)=ROUND(Q142,0)</f>
        <v>1</v>
      </c>
      <c r="Q142" s="71">
        <v>414</v>
      </c>
    </row>
    <row r="143" spans="1:17" ht="15" customHeight="1" x14ac:dyDescent="0.2">
      <c r="A143" s="42" t="s">
        <v>65</v>
      </c>
      <c r="B143" s="43"/>
      <c r="C143" s="46">
        <f t="shared" ref="C143:O143" si="75">C102</f>
        <v>190.32</v>
      </c>
      <c r="D143" s="46">
        <f t="shared" si="75"/>
        <v>103.4347924167111</v>
      </c>
      <c r="E143" s="46">
        <f t="shared" si="75"/>
        <v>65.689975513499618</v>
      </c>
      <c r="F143" s="46">
        <f t="shared" si="75"/>
        <v>48.037696817265569</v>
      </c>
      <c r="G143" s="46">
        <f t="shared" si="75"/>
        <v>38.627815668037016</v>
      </c>
      <c r="H143" s="46">
        <f t="shared" si="75"/>
        <v>32.849042127828447</v>
      </c>
      <c r="I143" s="46">
        <f t="shared" si="75"/>
        <v>28.908021944625677</v>
      </c>
      <c r="J143" s="46">
        <f t="shared" si="75"/>
        <v>26.069605486863196</v>
      </c>
      <c r="K143" s="46">
        <f t="shared" si="75"/>
        <v>23.992875900811416</v>
      </c>
      <c r="L143" s="46">
        <f t="shared" si="75"/>
        <v>22.488328982275675</v>
      </c>
      <c r="M143" s="46">
        <f t="shared" si="75"/>
        <v>21.430529590753444</v>
      </c>
      <c r="N143" s="46">
        <f t="shared" si="75"/>
        <v>20.726476232803424</v>
      </c>
      <c r="O143" s="46">
        <f t="shared" si="75"/>
        <v>20.303425578038684</v>
      </c>
      <c r="P143" s="8" t="b">
        <f>ROUND(O143,0)=ROUND(Q143,0)</f>
        <v>1</v>
      </c>
      <c r="Q143" s="71">
        <v>20</v>
      </c>
    </row>
    <row r="144" spans="1:17" ht="15" customHeight="1" x14ac:dyDescent="0.2">
      <c r="A144" s="48"/>
      <c r="B144" s="43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8"/>
    </row>
    <row r="145" spans="1:18" ht="18" customHeight="1" x14ac:dyDescent="0.2">
      <c r="A145" s="40" t="s">
        <v>78</v>
      </c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8"/>
      <c r="Q145" s="72"/>
      <c r="R145" s="18"/>
    </row>
    <row r="146" spans="1:18" ht="15" customHeight="1" x14ac:dyDescent="0.2">
      <c r="A146" s="42" t="s">
        <v>63</v>
      </c>
      <c r="B146" s="43"/>
      <c r="C146" s="35">
        <f t="shared" ref="C146:O146" si="76">C124-C94-C73</f>
        <v>4872.7000000000007</v>
      </c>
      <c r="D146" s="35">
        <f t="shared" si="76"/>
        <v>4563.4824375051858</v>
      </c>
      <c r="E146" s="35">
        <f t="shared" si="76"/>
        <v>3855.4532990913999</v>
      </c>
      <c r="F146" s="35">
        <f t="shared" si="76"/>
        <v>3236.6458146968916</v>
      </c>
      <c r="G146" s="35">
        <f t="shared" si="76"/>
        <v>2757.6164467274848</v>
      </c>
      <c r="H146" s="35">
        <f t="shared" si="76"/>
        <v>2396.9342247292548</v>
      </c>
      <c r="I146" s="35">
        <f t="shared" si="76"/>
        <v>2128.1795540272374</v>
      </c>
      <c r="J146" s="35">
        <f t="shared" si="76"/>
        <v>1930.0058743066129</v>
      </c>
      <c r="K146" s="35">
        <f t="shared" si="76"/>
        <v>1786.2027750048874</v>
      </c>
      <c r="L146" s="35">
        <f t="shared" si="76"/>
        <v>1684.4994346307903</v>
      </c>
      <c r="M146" s="35">
        <f t="shared" si="76"/>
        <v>1615.5339918447605</v>
      </c>
      <c r="N146" s="35">
        <f t="shared" si="76"/>
        <v>1572.1057619515723</v>
      </c>
      <c r="O146" s="35">
        <f t="shared" si="76"/>
        <v>1548.6412812989545</v>
      </c>
      <c r="P146" s="8" t="b">
        <f>ROUND(O146,0)=ROUND(Q146,0)</f>
        <v>1</v>
      </c>
      <c r="Q146" s="72">
        <v>1549</v>
      </c>
      <c r="R146" s="47"/>
    </row>
    <row r="147" spans="1:18" ht="15" customHeight="1" x14ac:dyDescent="0.2">
      <c r="A147" s="42" t="s">
        <v>64</v>
      </c>
      <c r="B147" s="43"/>
      <c r="C147" s="35">
        <f t="shared" ref="C147:O147" si="77">C125-C98-C83-C78</f>
        <v>1135.6275000000001</v>
      </c>
      <c r="D147" s="35">
        <f t="shared" si="77"/>
        <v>1426.770287711867</v>
      </c>
      <c r="E147" s="35">
        <f t="shared" si="77"/>
        <v>1407.0849241017445</v>
      </c>
      <c r="F147" s="35">
        <f t="shared" si="77"/>
        <v>1283.1245669004486</v>
      </c>
      <c r="G147" s="35">
        <f t="shared" si="77"/>
        <v>1138.7874649032087</v>
      </c>
      <c r="H147" s="35">
        <f t="shared" si="77"/>
        <v>1005.7098137826224</v>
      </c>
      <c r="I147" s="35">
        <f t="shared" si="77"/>
        <v>893.83283966504257</v>
      </c>
      <c r="J147" s="35">
        <f t="shared" si="77"/>
        <v>804.37221108979986</v>
      </c>
      <c r="K147" s="35">
        <f t="shared" si="77"/>
        <v>735.28859121180108</v>
      </c>
      <c r="L147" s="35">
        <f t="shared" si="77"/>
        <v>683.57824653973319</v>
      </c>
      <c r="M147" s="35">
        <f t="shared" si="77"/>
        <v>646.20545460344613</v>
      </c>
      <c r="N147" s="35">
        <f t="shared" si="77"/>
        <v>620.45049269572121</v>
      </c>
      <c r="O147" s="35">
        <f t="shared" si="77"/>
        <v>604.00712760025135</v>
      </c>
      <c r="P147" s="8" t="b">
        <f>ROUND(O147,0)=ROUND(Q147,0)</f>
        <v>1</v>
      </c>
      <c r="Q147" s="71">
        <v>604</v>
      </c>
      <c r="R147" s="47"/>
    </row>
    <row r="148" spans="1:18" ht="15" customHeight="1" x14ac:dyDescent="0.2">
      <c r="A148" s="42" t="s">
        <v>65</v>
      </c>
      <c r="B148" s="43"/>
      <c r="C148" s="35">
        <f t="shared" ref="C148:O148" si="78">C126-C102-C87</f>
        <v>317.2</v>
      </c>
      <c r="D148" s="35">
        <f t="shared" si="78"/>
        <v>172.39132069451847</v>
      </c>
      <c r="E148" s="35">
        <f t="shared" si="78"/>
        <v>109.48329252249935</v>
      </c>
      <c r="F148" s="35">
        <f t="shared" si="78"/>
        <v>80.062828028775954</v>
      </c>
      <c r="G148" s="35">
        <f t="shared" si="78"/>
        <v>64.379692780061688</v>
      </c>
      <c r="H148" s="35">
        <f t="shared" si="78"/>
        <v>54.748403546380736</v>
      </c>
      <c r="I148" s="35">
        <f t="shared" si="78"/>
        <v>48.180036574376132</v>
      </c>
      <c r="J148" s="35">
        <f t="shared" si="78"/>
        <v>43.449342478105329</v>
      </c>
      <c r="K148" s="35">
        <f t="shared" si="78"/>
        <v>39.988126501352362</v>
      </c>
      <c r="L148" s="35">
        <f t="shared" si="78"/>
        <v>37.480548303792787</v>
      </c>
      <c r="M148" s="35">
        <f t="shared" si="78"/>
        <v>35.717549317922398</v>
      </c>
      <c r="N148" s="35">
        <f t="shared" si="78"/>
        <v>34.544127054672373</v>
      </c>
      <c r="O148" s="35">
        <f t="shared" si="78"/>
        <v>33.839042630064469</v>
      </c>
      <c r="P148" s="8" t="b">
        <f>ROUND(O148,0)=ROUND(Q148,0)</f>
        <v>1</v>
      </c>
      <c r="Q148" s="71">
        <v>34</v>
      </c>
      <c r="R148" s="41"/>
    </row>
    <row r="149" spans="1:18" ht="15" customHeight="1" x14ac:dyDescent="0.2">
      <c r="A149" s="48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8"/>
      <c r="R149" s="33"/>
    </row>
    <row r="150" spans="1:18" ht="18" customHeight="1" x14ac:dyDescent="0.2">
      <c r="A150" s="6" t="s">
        <v>79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8"/>
      <c r="R150" s="33"/>
    </row>
    <row r="151" spans="1:18" ht="18" customHeight="1" x14ac:dyDescent="0.2">
      <c r="A151" s="40" t="s">
        <v>80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8"/>
      <c r="Q151" s="73"/>
      <c r="R151" s="52"/>
    </row>
    <row r="152" spans="1:18" ht="15" customHeight="1" x14ac:dyDescent="0.2">
      <c r="A152" s="42" t="s">
        <v>63</v>
      </c>
      <c r="B152" s="33"/>
      <c r="C152" s="33"/>
      <c r="D152" s="21">
        <f t="shared" ref="D152:O152" si="79">D114*$B$60</f>
        <v>84146.762500740748</v>
      </c>
      <c r="E152" s="21">
        <f t="shared" si="79"/>
        <v>63091.071546179526</v>
      </c>
      <c r="F152" s="21">
        <f t="shared" si="79"/>
        <v>56020.508197986375</v>
      </c>
      <c r="G152" s="21">
        <f t="shared" si="79"/>
        <v>52453.614987527159</v>
      </c>
      <c r="H152" s="21">
        <f t="shared" si="79"/>
        <v>50239.933217795609</v>
      </c>
      <c r="I152" s="21">
        <f t="shared" si="79"/>
        <v>48855.383692998686</v>
      </c>
      <c r="J152" s="21">
        <f t="shared" si="79"/>
        <v>48097.722826651116</v>
      </c>
      <c r="K152" s="21">
        <f t="shared" si="79"/>
        <v>47838.778051936162</v>
      </c>
      <c r="L152" s="21">
        <f t="shared" si="79"/>
        <v>47978.536627228503</v>
      </c>
      <c r="M152" s="21">
        <f t="shared" si="79"/>
        <v>48435.82907100056</v>
      </c>
      <c r="N152" s="21">
        <f t="shared" si="79"/>
        <v>49144.971228913382</v>
      </c>
      <c r="O152" s="21">
        <f t="shared" si="79"/>
        <v>50053.253185887857</v>
      </c>
      <c r="P152" s="8" t="b">
        <f>ROUND(O152,0)=ROUND(Q152,0)</f>
        <v>1</v>
      </c>
      <c r="Q152" s="73">
        <v>50053.25</v>
      </c>
      <c r="R152" s="53"/>
    </row>
    <row r="153" spans="1:18" ht="15" customHeight="1" x14ac:dyDescent="0.2">
      <c r="A153" s="42" t="s">
        <v>64</v>
      </c>
      <c r="B153" s="33"/>
      <c r="C153" s="33"/>
      <c r="D153" s="21">
        <f t="shared" ref="D153:O153" si="80">D115*$B$61</f>
        <v>54754.428906666668</v>
      </c>
      <c r="E153" s="21">
        <f t="shared" si="80"/>
        <v>43301.227744725977</v>
      </c>
      <c r="F153" s="21">
        <f t="shared" si="80"/>
        <v>39714.660861367331</v>
      </c>
      <c r="G153" s="21">
        <f t="shared" si="80"/>
        <v>38098.908430484014</v>
      </c>
      <c r="H153" s="21">
        <f t="shared" si="80"/>
        <v>37244.337435010035</v>
      </c>
      <c r="I153" s="21">
        <f t="shared" si="80"/>
        <v>36856.15332731176</v>
      </c>
      <c r="J153" s="21">
        <f t="shared" si="80"/>
        <v>36820.594089991246</v>
      </c>
      <c r="K153" s="21">
        <f t="shared" si="80"/>
        <v>37065.562654214089</v>
      </c>
      <c r="L153" s="21">
        <f t="shared" si="80"/>
        <v>37534.801852816032</v>
      </c>
      <c r="M153" s="21">
        <f t="shared" si="80"/>
        <v>38182.653852437812</v>
      </c>
      <c r="N153" s="21">
        <f t="shared" si="80"/>
        <v>38972.171316263775</v>
      </c>
      <c r="O153" s="21">
        <f t="shared" si="80"/>
        <v>39873.704917061921</v>
      </c>
      <c r="P153" s="8" t="b">
        <f>ROUND(O153,0)=ROUND(Q153,0)</f>
        <v>1</v>
      </c>
      <c r="Q153" s="73">
        <v>39873.699999999997</v>
      </c>
      <c r="R153" s="53"/>
    </row>
    <row r="154" spans="1:18" ht="15" customHeight="1" x14ac:dyDescent="0.2">
      <c r="A154" s="42" t="s">
        <v>65</v>
      </c>
      <c r="B154" s="33"/>
      <c r="C154" s="33"/>
      <c r="D154" s="21">
        <f t="shared" ref="D154:O154" si="81">D116*$B$62</f>
        <v>12167.650868148152</v>
      </c>
      <c r="E154" s="21">
        <f t="shared" si="81"/>
        <v>9622.4950543834839</v>
      </c>
      <c r="F154" s="21">
        <f t="shared" si="81"/>
        <v>8825.4801914149375</v>
      </c>
      <c r="G154" s="21">
        <f t="shared" si="81"/>
        <v>8466.4240956630765</v>
      </c>
      <c r="H154" s="21">
        <f t="shared" si="81"/>
        <v>8276.519430002174</v>
      </c>
      <c r="I154" s="21">
        <f t="shared" si="81"/>
        <v>8190.256294958157</v>
      </c>
      <c r="J154" s="21">
        <f t="shared" si="81"/>
        <v>8182.3542422203082</v>
      </c>
      <c r="K154" s="21">
        <f t="shared" si="81"/>
        <v>8236.7917009365356</v>
      </c>
      <c r="L154" s="21">
        <f t="shared" si="81"/>
        <v>8341.067078403561</v>
      </c>
      <c r="M154" s="21">
        <f t="shared" si="81"/>
        <v>8485.0341894305529</v>
      </c>
      <c r="N154" s="21">
        <f t="shared" si="81"/>
        <v>8660.4825147252541</v>
      </c>
      <c r="O154" s="21">
        <f t="shared" si="81"/>
        <v>8860.8233149026619</v>
      </c>
      <c r="P154" s="8" t="b">
        <f>ROUND(O154,0)=ROUND(Q154,0)</f>
        <v>1</v>
      </c>
      <c r="Q154" s="73">
        <v>8860.82</v>
      </c>
      <c r="R154" s="53"/>
    </row>
    <row r="155" spans="1:18" ht="12.75" customHeight="1" x14ac:dyDescent="0.15">
      <c r="A155" s="33"/>
      <c r="B155" s="33"/>
      <c r="C155" s="33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8"/>
      <c r="R155" s="52"/>
    </row>
    <row r="156" spans="1:18" ht="18" customHeight="1" x14ac:dyDescent="0.2">
      <c r="A156" s="40" t="s">
        <v>81</v>
      </c>
      <c r="B156" s="33"/>
      <c r="C156" s="33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8"/>
      <c r="Q156" s="73"/>
      <c r="R156" s="52"/>
    </row>
    <row r="157" spans="1:18" ht="15" customHeight="1" x14ac:dyDescent="0.2">
      <c r="A157" s="42" t="s">
        <v>63</v>
      </c>
      <c r="B157" s="33"/>
      <c r="C157" s="33"/>
      <c r="D157" s="21">
        <f t="shared" ref="D157:O157" si="82">D119*$B$60</f>
        <v>567779.30000000005</v>
      </c>
      <c r="E157" s="21">
        <f t="shared" si="82"/>
        <v>487687.97118116333</v>
      </c>
      <c r="F157" s="21">
        <f t="shared" si="82"/>
        <v>406357.46533014101</v>
      </c>
      <c r="G157" s="21">
        <f t="shared" si="82"/>
        <v>341491.59168782784</v>
      </c>
      <c r="H157" s="21">
        <f t="shared" si="82"/>
        <v>292179.24174352654</v>
      </c>
      <c r="I157" s="21">
        <f t="shared" si="82"/>
        <v>255170.26688232095</v>
      </c>
      <c r="J157" s="21">
        <f t="shared" si="82"/>
        <v>227617.40207429358</v>
      </c>
      <c r="K157" s="21">
        <f t="shared" si="82"/>
        <v>207333.04694876206</v>
      </c>
      <c r="L157" s="21">
        <f t="shared" si="82"/>
        <v>192664.23974859872</v>
      </c>
      <c r="M157" s="21">
        <f t="shared" si="82"/>
        <v>182354.74119253666</v>
      </c>
      <c r="N157" s="21">
        <f t="shared" si="82"/>
        <v>175441.56619273982</v>
      </c>
      <c r="O157" s="21">
        <f t="shared" si="82"/>
        <v>171181.21557110565</v>
      </c>
      <c r="P157" s="8" t="b">
        <f>ROUND(O157,0)=ROUND(Q157,0)</f>
        <v>1</v>
      </c>
      <c r="Q157" s="73">
        <v>171181.22</v>
      </c>
      <c r="R157" s="53"/>
    </row>
    <row r="158" spans="1:18" ht="15" customHeight="1" x14ac:dyDescent="0.2">
      <c r="A158" s="42" t="s">
        <v>64</v>
      </c>
      <c r="B158" s="33"/>
      <c r="C158" s="33"/>
      <c r="D158" s="21">
        <f t="shared" ref="D158:O158" si="83">D120*$B$61</f>
        <v>585052.87500000012</v>
      </c>
      <c r="E158" s="21">
        <f t="shared" si="83"/>
        <v>587678.55884798453</v>
      </c>
      <c r="F158" s="21">
        <f t="shared" si="83"/>
        <v>535677.52160520165</v>
      </c>
      <c r="G158" s="21">
        <f t="shared" si="83"/>
        <v>472568.11618978891</v>
      </c>
      <c r="H158" s="21">
        <f t="shared" si="83"/>
        <v>413746.61044957407</v>
      </c>
      <c r="I158" s="21">
        <f t="shared" si="83"/>
        <v>363965.74786777463</v>
      </c>
      <c r="J158" s="21">
        <f t="shared" si="83"/>
        <v>323884.4333045379</v>
      </c>
      <c r="K158" s="21">
        <f t="shared" si="83"/>
        <v>292660.26300130214</v>
      </c>
      <c r="L158" s="21">
        <f t="shared" si="83"/>
        <v>269002.52843405982</v>
      </c>
      <c r="M158" s="21">
        <f t="shared" si="83"/>
        <v>251595.57691143936</v>
      </c>
      <c r="N158" s="21">
        <f t="shared" si="83"/>
        <v>239256.74917509101</v>
      </c>
      <c r="O158" s="21">
        <f t="shared" si="83"/>
        <v>230981.50925345439</v>
      </c>
      <c r="P158" s="8" t="b">
        <f>ROUND(O158,0)=ROUND(Q158,0)</f>
        <v>1</v>
      </c>
      <c r="Q158" s="73">
        <v>230981.51</v>
      </c>
      <c r="R158" s="53"/>
    </row>
    <row r="159" spans="1:18" ht="15" customHeight="1" x14ac:dyDescent="0.2">
      <c r="A159" s="42" t="s">
        <v>65</v>
      </c>
      <c r="B159" s="33"/>
      <c r="C159" s="33"/>
      <c r="D159" s="21">
        <f t="shared" ref="D159:O159" si="84">D121*$B$62</f>
        <v>203321.5</v>
      </c>
      <c r="E159" s="21">
        <f t="shared" si="84"/>
        <v>127231.62059874073</v>
      </c>
      <c r="F159" s="21">
        <f t="shared" si="84"/>
        <v>91253.054844554994</v>
      </c>
      <c r="G159" s="21">
        <f t="shared" si="84"/>
        <v>72008.191879414037</v>
      </c>
      <c r="H159" s="21">
        <f t="shared" si="84"/>
        <v>60158.985002973757</v>
      </c>
      <c r="I159" s="21">
        <f t="shared" si="84"/>
        <v>52034.789423012</v>
      </c>
      <c r="J159" s="21">
        <f t="shared" si="84"/>
        <v>46129.323855411356</v>
      </c>
      <c r="K159" s="21">
        <f t="shared" si="84"/>
        <v>41748.366425753913</v>
      </c>
      <c r="L159" s="21">
        <f t="shared" si="84"/>
        <v>38509.618301337425</v>
      </c>
      <c r="M159" s="21">
        <f t="shared" si="84"/>
        <v>36161.90245797245</v>
      </c>
      <c r="N159" s="21">
        <f t="shared" si="84"/>
        <v>34519.676303615212</v>
      </c>
      <c r="O159" s="21">
        <f t="shared" si="84"/>
        <v>33437.979972677931</v>
      </c>
      <c r="P159" s="8" t="b">
        <f>ROUND(O159,0)=ROUND(Q159,0)</f>
        <v>1</v>
      </c>
      <c r="Q159" s="73">
        <v>33437.980000000003</v>
      </c>
      <c r="R159" s="53"/>
    </row>
    <row r="160" spans="1:18" ht="12.75" customHeight="1" x14ac:dyDescent="0.15">
      <c r="A160" s="33"/>
      <c r="B160" s="33"/>
      <c r="C160" s="33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8"/>
      <c r="Q160" s="73"/>
      <c r="R160" s="52"/>
    </row>
    <row r="161" spans="1:18" ht="18" customHeight="1" x14ac:dyDescent="0.2">
      <c r="A161" s="40" t="s">
        <v>82</v>
      </c>
      <c r="B161" s="33"/>
      <c r="C161" s="21">
        <f t="shared" ref="C161:O161" si="85">SUM(C162:C164)</f>
        <v>1601850</v>
      </c>
      <c r="D161" s="21">
        <f t="shared" si="85"/>
        <v>1507222.5172755555</v>
      </c>
      <c r="E161" s="21">
        <f t="shared" si="85"/>
        <v>1318612.9449731775</v>
      </c>
      <c r="F161" s="21">
        <f t="shared" si="85"/>
        <v>1137848.6910306662</v>
      </c>
      <c r="G161" s="21">
        <f t="shared" si="85"/>
        <v>985086.84727070504</v>
      </c>
      <c r="H161" s="21">
        <f t="shared" si="85"/>
        <v>861845.6272788822</v>
      </c>
      <c r="I161" s="21">
        <f t="shared" si="85"/>
        <v>765072.5974883762</v>
      </c>
      <c r="J161" s="21">
        <f t="shared" si="85"/>
        <v>690731.8303931054</v>
      </c>
      <c r="K161" s="21">
        <f t="shared" si="85"/>
        <v>634882.80878290487</v>
      </c>
      <c r="L161" s="21">
        <f t="shared" si="85"/>
        <v>594030.79204244411</v>
      </c>
      <c r="M161" s="21">
        <f t="shared" si="85"/>
        <v>565215.73767481744</v>
      </c>
      <c r="N161" s="21">
        <f t="shared" si="85"/>
        <v>545995.61673134856</v>
      </c>
      <c r="O161" s="21">
        <f t="shared" si="85"/>
        <v>534388.48621509038</v>
      </c>
      <c r="P161" s="8" t="b">
        <f>ROUND(O161,0)=ROUND(Q161,0)</f>
        <v>1</v>
      </c>
      <c r="Q161" s="73">
        <v>534388.49</v>
      </c>
      <c r="R161" s="53"/>
    </row>
    <row r="162" spans="1:18" ht="15" customHeight="1" x14ac:dyDescent="0.2">
      <c r="A162" s="42" t="s">
        <v>63</v>
      </c>
      <c r="B162" s="33"/>
      <c r="C162" s="21">
        <f t="shared" ref="C162:O162" si="86">C124*$B$60</f>
        <v>696100</v>
      </c>
      <c r="D162" s="21">
        <f t="shared" si="86"/>
        <v>651926.06250074075</v>
      </c>
      <c r="E162" s="21">
        <f t="shared" si="86"/>
        <v>550779.04272734281</v>
      </c>
      <c r="F162" s="21">
        <f t="shared" si="86"/>
        <v>462377.97352812742</v>
      </c>
      <c r="G162" s="21">
        <f t="shared" si="86"/>
        <v>393945.20667535497</v>
      </c>
      <c r="H162" s="21">
        <f t="shared" si="86"/>
        <v>342419.17496132216</v>
      </c>
      <c r="I162" s="21">
        <f t="shared" si="86"/>
        <v>304025.65057531965</v>
      </c>
      <c r="J162" s="21">
        <f t="shared" si="86"/>
        <v>275715.12490094471</v>
      </c>
      <c r="K162" s="21">
        <f t="shared" si="86"/>
        <v>255171.82500069821</v>
      </c>
      <c r="L162" s="21">
        <f t="shared" si="86"/>
        <v>240642.77637582723</v>
      </c>
      <c r="M162" s="21">
        <f t="shared" si="86"/>
        <v>230790.5702635372</v>
      </c>
      <c r="N162" s="21">
        <f t="shared" si="86"/>
        <v>224586.53742165319</v>
      </c>
      <c r="O162" s="21">
        <f t="shared" si="86"/>
        <v>221234.4687569935</v>
      </c>
      <c r="P162" s="8" t="b">
        <f>ROUND(O162,0)=ROUND(Q162,0)</f>
        <v>1</v>
      </c>
      <c r="Q162" s="73">
        <v>221234.47</v>
      </c>
      <c r="R162" s="53"/>
    </row>
    <row r="163" spans="1:18" ht="15" customHeight="1" x14ac:dyDescent="0.2">
      <c r="A163" s="42" t="s">
        <v>64</v>
      </c>
      <c r="B163" s="33"/>
      <c r="C163" s="21">
        <f t="shared" ref="C163:O163" si="87">C125*$B$61</f>
        <v>509250</v>
      </c>
      <c r="D163" s="21">
        <f t="shared" si="87"/>
        <v>639807.30390666681</v>
      </c>
      <c r="E163" s="21">
        <f t="shared" si="87"/>
        <v>630979.78659271053</v>
      </c>
      <c r="F163" s="21">
        <f t="shared" si="87"/>
        <v>575392.18246656889</v>
      </c>
      <c r="G163" s="21">
        <f t="shared" si="87"/>
        <v>510667.02462027292</v>
      </c>
      <c r="H163" s="21">
        <f t="shared" si="87"/>
        <v>450990.94788458408</v>
      </c>
      <c r="I163" s="21">
        <f t="shared" si="87"/>
        <v>400821.90119508636</v>
      </c>
      <c r="J163" s="21">
        <f t="shared" si="87"/>
        <v>360705.02739452908</v>
      </c>
      <c r="K163" s="21">
        <f t="shared" si="87"/>
        <v>329725.82565551624</v>
      </c>
      <c r="L163" s="21">
        <f t="shared" si="87"/>
        <v>306537.33028687583</v>
      </c>
      <c r="M163" s="21">
        <f t="shared" si="87"/>
        <v>289778.23076387716</v>
      </c>
      <c r="N163" s="21">
        <f t="shared" si="87"/>
        <v>278228.92049135483</v>
      </c>
      <c r="O163" s="21">
        <f t="shared" si="87"/>
        <v>270855.21417051629</v>
      </c>
      <c r="P163" s="8" t="b">
        <f>ROUND(O163,0)=ROUND(Q163,0)</f>
        <v>1</v>
      </c>
      <c r="Q163" s="73">
        <v>270855.21000000002</v>
      </c>
      <c r="R163" s="53"/>
    </row>
    <row r="164" spans="1:18" ht="15" customHeight="1" x14ac:dyDescent="0.2">
      <c r="A164" s="42" t="s">
        <v>65</v>
      </c>
      <c r="B164" s="33"/>
      <c r="C164" s="21">
        <f t="shared" ref="C164:O164" si="88">C126*$B$62</f>
        <v>396500</v>
      </c>
      <c r="D164" s="21">
        <f t="shared" si="88"/>
        <v>215489.15086814814</v>
      </c>
      <c r="E164" s="21">
        <f t="shared" si="88"/>
        <v>136854.1156531242</v>
      </c>
      <c r="F164" s="21">
        <f t="shared" si="88"/>
        <v>100078.53503596994</v>
      </c>
      <c r="G164" s="21">
        <f t="shared" si="88"/>
        <v>80474.615975077118</v>
      </c>
      <c r="H164" s="21">
        <f t="shared" si="88"/>
        <v>68435.504432975926</v>
      </c>
      <c r="I164" s="21">
        <f t="shared" si="88"/>
        <v>60225.045717970163</v>
      </c>
      <c r="J164" s="21">
        <f t="shared" si="88"/>
        <v>54311.678097631666</v>
      </c>
      <c r="K164" s="21">
        <f t="shared" si="88"/>
        <v>49985.158126690447</v>
      </c>
      <c r="L164" s="21">
        <f t="shared" si="88"/>
        <v>46850.685379740986</v>
      </c>
      <c r="M164" s="21">
        <f t="shared" si="88"/>
        <v>44646.93664740301</v>
      </c>
      <c r="N164" s="21">
        <f t="shared" si="88"/>
        <v>43180.158818340467</v>
      </c>
      <c r="O164" s="21">
        <f t="shared" si="88"/>
        <v>42298.803287580587</v>
      </c>
      <c r="P164" s="8" t="b">
        <f>ROUND(O164,0)=ROUND(Q164,0)</f>
        <v>1</v>
      </c>
      <c r="Q164" s="73">
        <v>42298.8</v>
      </c>
      <c r="R164" s="53"/>
    </row>
    <row r="165" spans="1:18" ht="18" customHeight="1" x14ac:dyDescent="0.2">
      <c r="A165" s="40"/>
      <c r="B165" s="33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8"/>
      <c r="Q165" s="73"/>
      <c r="R165" s="52"/>
    </row>
    <row r="166" spans="1:18" ht="18" customHeight="1" x14ac:dyDescent="0.2">
      <c r="A166" s="40" t="s">
        <v>83</v>
      </c>
      <c r="B166" s="33"/>
      <c r="C166" s="33"/>
      <c r="D166" s="21">
        <f t="shared" ref="D166:O166" si="89">SUM(D167:D172)</f>
        <v>258951.74999999997</v>
      </c>
      <c r="E166" s="21">
        <f t="shared" si="89"/>
        <v>167556.14174624445</v>
      </c>
      <c r="F166" s="21">
        <f t="shared" si="89"/>
        <v>131158.30013072252</v>
      </c>
      <c r="G166" s="21">
        <f t="shared" si="89"/>
        <v>110184.17557498338</v>
      </c>
      <c r="H166" s="21">
        <f t="shared" si="89"/>
        <v>95694.738270998321</v>
      </c>
      <c r="I166" s="21">
        <f t="shared" si="89"/>
        <v>85123.436855726584</v>
      </c>
      <c r="J166" s="21">
        <f t="shared" si="89"/>
        <v>77364.697084113621</v>
      </c>
      <c r="K166" s="21">
        <f t="shared" si="89"/>
        <v>71744.748107402149</v>
      </c>
      <c r="L166" s="21">
        <f t="shared" si="89"/>
        <v>67780.837928128894</v>
      </c>
      <c r="M166" s="21">
        <f t="shared" si="89"/>
        <v>65107.440281221447</v>
      </c>
      <c r="N166" s="21">
        <f t="shared" si="89"/>
        <v>63442.642449574305</v>
      </c>
      <c r="O166" s="21">
        <f t="shared" si="89"/>
        <v>62567.420161937975</v>
      </c>
      <c r="P166" s="8" t="b">
        <f t="shared" ref="P166:P172" si="90">ROUND(O166,0)=ROUND(Q166,0)</f>
        <v>1</v>
      </c>
      <c r="Q166" s="73">
        <v>62567.42</v>
      </c>
      <c r="R166" s="53"/>
    </row>
    <row r="167" spans="1:18" ht="15" customHeight="1" x14ac:dyDescent="0.2">
      <c r="A167" s="42" t="s">
        <v>70</v>
      </c>
      <c r="B167" s="33"/>
      <c r="C167" s="33"/>
      <c r="D167" s="21">
        <f t="shared" ref="D167:O167" si="91">($B$60-$B$59)*C131</f>
        <v>68488.000000000015</v>
      </c>
      <c r="E167" s="21">
        <f t="shared" si="91"/>
        <v>18271.674074074072</v>
      </c>
      <c r="F167" s="21">
        <f t="shared" si="91"/>
        <v>8469.14962962963</v>
      </c>
      <c r="G167" s="21">
        <f t="shared" si="91"/>
        <v>6749.3854814814813</v>
      </c>
      <c r="H167" s="21">
        <f t="shared" si="91"/>
        <v>6646.1733925925937</v>
      </c>
      <c r="I167" s="21">
        <f t="shared" si="91"/>
        <v>6866.2717155555565</v>
      </c>
      <c r="J167" s="21">
        <f t="shared" si="91"/>
        <v>7151.0321208888899</v>
      </c>
      <c r="K167" s="21">
        <f t="shared" si="91"/>
        <v>7448.7249426962962</v>
      </c>
      <c r="L167" s="21">
        <f t="shared" si="91"/>
        <v>7749.0042477985189</v>
      </c>
      <c r="M167" s="21">
        <f t="shared" si="91"/>
        <v>8049.8008495597051</v>
      </c>
      <c r="N167" s="21">
        <f t="shared" si="91"/>
        <v>8350.7009106526821</v>
      </c>
      <c r="O167" s="21">
        <f t="shared" si="91"/>
        <v>8651.6216636120189</v>
      </c>
      <c r="P167" s="8" t="b">
        <f t="shared" si="90"/>
        <v>1</v>
      </c>
      <c r="Q167" s="73">
        <v>8651.6200000000008</v>
      </c>
      <c r="R167" s="53"/>
    </row>
    <row r="168" spans="1:18" ht="15" customHeight="1" x14ac:dyDescent="0.2">
      <c r="A168" s="42" t="s">
        <v>84</v>
      </c>
      <c r="B168" s="33"/>
      <c r="C168" s="33"/>
      <c r="D168" s="21">
        <f t="shared" ref="D168:O168" si="92">($B$61-$B$59)*C69</f>
        <v>38524.499999999993</v>
      </c>
      <c r="E168" s="21">
        <f t="shared" si="92"/>
        <v>10277.816666666664</v>
      </c>
      <c r="F168" s="21">
        <f t="shared" si="92"/>
        <v>4763.8966666666665</v>
      </c>
      <c r="G168" s="21">
        <f t="shared" si="92"/>
        <v>3796.5293333333329</v>
      </c>
      <c r="H168" s="21">
        <f t="shared" si="92"/>
        <v>3738.4725333333336</v>
      </c>
      <c r="I168" s="21">
        <f t="shared" si="92"/>
        <v>3862.2778399999997</v>
      </c>
      <c r="J168" s="21">
        <f t="shared" si="92"/>
        <v>4022.4555680000008</v>
      </c>
      <c r="K168" s="21">
        <f t="shared" si="92"/>
        <v>4189.9077802666661</v>
      </c>
      <c r="L168" s="21">
        <f t="shared" si="92"/>
        <v>4358.8148893866664</v>
      </c>
      <c r="M168" s="21">
        <f t="shared" si="92"/>
        <v>4528.0129778773335</v>
      </c>
      <c r="N168" s="21">
        <f t="shared" si="92"/>
        <v>4697.2692622421337</v>
      </c>
      <c r="O168" s="21">
        <f t="shared" si="92"/>
        <v>4866.5371857817609</v>
      </c>
      <c r="P168" s="8" t="b">
        <f t="shared" si="90"/>
        <v>1</v>
      </c>
      <c r="Q168" s="73">
        <v>4866.54</v>
      </c>
      <c r="R168" s="53"/>
    </row>
    <row r="169" spans="1:18" ht="15" customHeight="1" x14ac:dyDescent="0.2">
      <c r="A169" s="42" t="s">
        <v>85</v>
      </c>
      <c r="B169" s="33"/>
      <c r="C169" s="33"/>
      <c r="D169" s="21">
        <f t="shared" ref="D169:O169" si="93">($B$62-$B$59)*C70</f>
        <v>8561</v>
      </c>
      <c r="E169" s="21">
        <f t="shared" si="93"/>
        <v>2283.9592592592589</v>
      </c>
      <c r="F169" s="21">
        <f t="shared" si="93"/>
        <v>1058.6437037037037</v>
      </c>
      <c r="G169" s="21">
        <f t="shared" si="93"/>
        <v>843.67318518518516</v>
      </c>
      <c r="H169" s="21">
        <f t="shared" si="93"/>
        <v>830.7716740740741</v>
      </c>
      <c r="I169" s="21">
        <f t="shared" si="93"/>
        <v>858.28396444444456</v>
      </c>
      <c r="J169" s="21">
        <f t="shared" si="93"/>
        <v>893.87901511111124</v>
      </c>
      <c r="K169" s="21">
        <f t="shared" si="93"/>
        <v>931.09061783703692</v>
      </c>
      <c r="L169" s="21">
        <f t="shared" si="93"/>
        <v>968.62553097481486</v>
      </c>
      <c r="M169" s="21">
        <f t="shared" si="93"/>
        <v>1006.225106194963</v>
      </c>
      <c r="N169" s="21">
        <f t="shared" si="93"/>
        <v>1043.8376138315853</v>
      </c>
      <c r="O169" s="21">
        <f t="shared" si="93"/>
        <v>1081.4527079515024</v>
      </c>
      <c r="P169" s="8" t="b">
        <f t="shared" si="90"/>
        <v>1</v>
      </c>
      <c r="Q169" s="73">
        <v>1081.45</v>
      </c>
      <c r="R169" s="53"/>
    </row>
    <row r="170" spans="1:18" ht="15" customHeight="1" x14ac:dyDescent="0.2">
      <c r="A170" s="42" t="s">
        <v>86</v>
      </c>
      <c r="B170" s="33"/>
      <c r="C170" s="33"/>
      <c r="D170" s="21">
        <f t="shared" ref="D170:O170" si="94">($B$61-$B$60)*C74</f>
        <v>119033.09999999998</v>
      </c>
      <c r="E170" s="21">
        <f t="shared" si="94"/>
        <v>111479.35668762667</v>
      </c>
      <c r="F170" s="21">
        <f t="shared" si="94"/>
        <v>94183.216306375631</v>
      </c>
      <c r="G170" s="21">
        <f t="shared" si="94"/>
        <v>79066.63347330979</v>
      </c>
      <c r="H170" s="21">
        <f t="shared" si="94"/>
        <v>67364.630341485696</v>
      </c>
      <c r="I170" s="21">
        <f t="shared" si="94"/>
        <v>58553.678918386089</v>
      </c>
      <c r="J170" s="21">
        <f t="shared" si="94"/>
        <v>51988.386248379655</v>
      </c>
      <c r="K170" s="21">
        <f t="shared" si="94"/>
        <v>47147.286358061538</v>
      </c>
      <c r="L170" s="21">
        <f t="shared" si="94"/>
        <v>43634.382075119393</v>
      </c>
      <c r="M170" s="21">
        <f t="shared" si="94"/>
        <v>41149.91476026646</v>
      </c>
      <c r="N170" s="21">
        <f t="shared" si="94"/>
        <v>39465.187515064856</v>
      </c>
      <c r="O170" s="21">
        <f t="shared" si="94"/>
        <v>38404.297899102698</v>
      </c>
      <c r="P170" s="8" t="b">
        <f t="shared" si="90"/>
        <v>1</v>
      </c>
      <c r="Q170" s="73">
        <v>38404.300000000003</v>
      </c>
      <c r="R170" s="53"/>
    </row>
    <row r="171" spans="1:18" ht="15" customHeight="1" x14ac:dyDescent="0.2">
      <c r="A171" s="42" t="s">
        <v>87</v>
      </c>
      <c r="B171" s="33"/>
      <c r="C171" s="33"/>
      <c r="D171" s="21">
        <f t="shared" ref="D171:O171" si="95">($B$62-$B$60)*C75</f>
        <v>16706.399999999998</v>
      </c>
      <c r="E171" s="21">
        <f t="shared" si="95"/>
        <v>15646.225500017781</v>
      </c>
      <c r="F171" s="21">
        <f t="shared" si="95"/>
        <v>13218.697025456227</v>
      </c>
      <c r="G171" s="21">
        <f t="shared" si="95"/>
        <v>11097.071364675057</v>
      </c>
      <c r="H171" s="21">
        <f t="shared" si="95"/>
        <v>9454.6849602085204</v>
      </c>
      <c r="I171" s="21">
        <f t="shared" si="95"/>
        <v>8218.0601990717314</v>
      </c>
      <c r="J171" s="21">
        <f t="shared" si="95"/>
        <v>7296.6156138076713</v>
      </c>
      <c r="K171" s="21">
        <f t="shared" si="95"/>
        <v>6617.1629976226723</v>
      </c>
      <c r="L171" s="21">
        <f t="shared" si="95"/>
        <v>6124.1238000167577</v>
      </c>
      <c r="M171" s="21">
        <f t="shared" si="95"/>
        <v>5775.4266330198543</v>
      </c>
      <c r="N171" s="21">
        <f t="shared" si="95"/>
        <v>5538.9736863248927</v>
      </c>
      <c r="O171" s="21">
        <f t="shared" si="95"/>
        <v>5390.076898119677</v>
      </c>
      <c r="P171" s="8" t="b">
        <f t="shared" si="90"/>
        <v>1</v>
      </c>
      <c r="Q171" s="73">
        <v>5390.08</v>
      </c>
      <c r="R171" s="53"/>
    </row>
    <row r="172" spans="1:18" ht="15" customHeight="1" x14ac:dyDescent="0.2">
      <c r="A172" s="42" t="s">
        <v>88</v>
      </c>
      <c r="B172" s="33"/>
      <c r="C172" s="33"/>
      <c r="D172" s="21">
        <f t="shared" ref="D172:O172" si="96">($B$62-$B$61)*C78</f>
        <v>7638.7500000000009</v>
      </c>
      <c r="E172" s="21">
        <f t="shared" si="96"/>
        <v>9597.1095586000029</v>
      </c>
      <c r="F172" s="21">
        <f t="shared" si="96"/>
        <v>9464.6967988906581</v>
      </c>
      <c r="G172" s="21">
        <f t="shared" si="96"/>
        <v>8630.8827369985356</v>
      </c>
      <c r="H172" s="21">
        <f t="shared" si="96"/>
        <v>7660.0053693040936</v>
      </c>
      <c r="I172" s="21">
        <f t="shared" si="96"/>
        <v>6764.8642182687618</v>
      </c>
      <c r="J172" s="21">
        <f t="shared" si="96"/>
        <v>6012.3285179262957</v>
      </c>
      <c r="K172" s="21">
        <f t="shared" si="96"/>
        <v>5410.575410917937</v>
      </c>
      <c r="L172" s="21">
        <f t="shared" si="96"/>
        <v>4945.8873848327439</v>
      </c>
      <c r="M172" s="21">
        <f t="shared" si="96"/>
        <v>4598.0599543031376</v>
      </c>
      <c r="N172" s="21">
        <f t="shared" si="96"/>
        <v>4346.6734614581583</v>
      </c>
      <c r="O172" s="21">
        <f t="shared" si="96"/>
        <v>4173.433807370322</v>
      </c>
      <c r="P172" s="8" t="b">
        <f t="shared" si="90"/>
        <v>1</v>
      </c>
      <c r="Q172" s="73">
        <v>4173.43</v>
      </c>
      <c r="R172" s="53"/>
    </row>
    <row r="173" spans="1:18" ht="18" customHeight="1" x14ac:dyDescent="0.2">
      <c r="A173" s="40"/>
      <c r="B173" s="33"/>
      <c r="C173" s="33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8"/>
      <c r="Q173" s="73"/>
      <c r="R173" s="52"/>
    </row>
    <row r="174" spans="1:18" ht="18" customHeight="1" x14ac:dyDescent="0.2">
      <c r="A174" s="40" t="s">
        <v>89</v>
      </c>
      <c r="B174" s="33"/>
      <c r="C174" s="33"/>
      <c r="D174" s="21">
        <f t="shared" ref="D174:O174" si="97">SUM(D175:D177)</f>
        <v>-89401.950000000026</v>
      </c>
      <c r="E174" s="21">
        <f t="shared" si="97"/>
        <v>-58390.12719112268</v>
      </c>
      <c r="F174" s="21">
        <f t="shared" si="97"/>
        <v>-43148.219504619286</v>
      </c>
      <c r="G174" s="21">
        <f t="shared" si="97"/>
        <v>-34630.573411460427</v>
      </c>
      <c r="H174" s="21">
        <f t="shared" si="97"/>
        <v>-29142.566392792087</v>
      </c>
      <c r="I174" s="21">
        <f t="shared" si="97"/>
        <v>-25234.249838695581</v>
      </c>
      <c r="J174" s="21">
        <f t="shared" si="97"/>
        <v>-22313.130055256039</v>
      </c>
      <c r="K174" s="21">
        <f t="shared" si="97"/>
        <v>-20101.703920680411</v>
      </c>
      <c r="L174" s="21">
        <f t="shared" si="97"/>
        <v>-18439.76546327148</v>
      </c>
      <c r="M174" s="21">
        <f t="shared" si="97"/>
        <v>-17215.618688200229</v>
      </c>
      <c r="N174" s="21">
        <f t="shared" si="97"/>
        <v>-16342.647742949179</v>
      </c>
      <c r="O174" s="21">
        <f t="shared" si="97"/>
        <v>-15750.955155805943</v>
      </c>
      <c r="P174" s="8" t="b">
        <f>ABS(ROUND(O174,0))=ABS(ROUND(Q174,0))</f>
        <v>1</v>
      </c>
      <c r="Q174" s="73">
        <v>-15750.96</v>
      </c>
      <c r="R174" s="53"/>
    </row>
    <row r="175" spans="1:18" ht="15" customHeight="1" x14ac:dyDescent="0.2">
      <c r="A175" s="42" t="s">
        <v>90</v>
      </c>
      <c r="B175" s="33"/>
      <c r="C175" s="33"/>
      <c r="D175" s="21">
        <f t="shared" ref="D175:O175" si="98">($B$60-$B$61)*C83</f>
        <v>-13749.750000000002</v>
      </c>
      <c r="E175" s="21">
        <f t="shared" si="98"/>
        <v>-17274.797205480005</v>
      </c>
      <c r="F175" s="21">
        <f t="shared" si="98"/>
        <v>-17036.454238003185</v>
      </c>
      <c r="G175" s="21">
        <f t="shared" si="98"/>
        <v>-15535.588926597362</v>
      </c>
      <c r="H175" s="21">
        <f t="shared" si="98"/>
        <v>-13788.009664747371</v>
      </c>
      <c r="I175" s="21">
        <f t="shared" si="98"/>
        <v>-12176.755592883772</v>
      </c>
      <c r="J175" s="21">
        <f t="shared" si="98"/>
        <v>-10822.191332267332</v>
      </c>
      <c r="K175" s="21">
        <f t="shared" si="98"/>
        <v>-9739.0357396522868</v>
      </c>
      <c r="L175" s="21">
        <f t="shared" si="98"/>
        <v>-8902.5972926989398</v>
      </c>
      <c r="M175" s="21">
        <f t="shared" si="98"/>
        <v>-8276.5079177456482</v>
      </c>
      <c r="N175" s="21">
        <f t="shared" si="98"/>
        <v>-7824.012230624684</v>
      </c>
      <c r="O175" s="21">
        <f t="shared" si="98"/>
        <v>-7512.1808532665809</v>
      </c>
      <c r="P175" s="8" t="b">
        <f>ABS(ROUND(O175,0))=ABS(ROUND(Q175,0))</f>
        <v>1</v>
      </c>
      <c r="Q175" s="73">
        <v>-7512.18</v>
      </c>
      <c r="R175" s="53"/>
    </row>
    <row r="176" spans="1:18" ht="15" customHeight="1" x14ac:dyDescent="0.2">
      <c r="A176" s="42" t="s">
        <v>91</v>
      </c>
      <c r="B176" s="33"/>
      <c r="C176" s="33"/>
      <c r="D176" s="21">
        <f t="shared" ref="D176:O176" si="99">($B$60-$B$62)*C88</f>
        <v>-11419.200000000004</v>
      </c>
      <c r="E176" s="21">
        <f t="shared" si="99"/>
        <v>-6206.0875450026679</v>
      </c>
      <c r="F176" s="21">
        <f t="shared" si="99"/>
        <v>-3941.3985308099777</v>
      </c>
      <c r="G176" s="21">
        <f t="shared" si="99"/>
        <v>-2882.2618090359347</v>
      </c>
      <c r="H176" s="21">
        <f t="shared" si="99"/>
        <v>-2317.6689400822211</v>
      </c>
      <c r="I176" s="21">
        <f t="shared" si="99"/>
        <v>-1970.9425276697073</v>
      </c>
      <c r="J176" s="21">
        <f t="shared" si="99"/>
        <v>-1734.4813166775407</v>
      </c>
      <c r="K176" s="21">
        <f t="shared" si="99"/>
        <v>-1564.1763292117921</v>
      </c>
      <c r="L176" s="21">
        <f t="shared" si="99"/>
        <v>-1439.5725540486851</v>
      </c>
      <c r="M176" s="21">
        <f t="shared" si="99"/>
        <v>-1349.2997389365407</v>
      </c>
      <c r="N176" s="21">
        <f t="shared" si="99"/>
        <v>-1285.8317754452069</v>
      </c>
      <c r="O176" s="21">
        <f t="shared" si="99"/>
        <v>-1243.5885739682055</v>
      </c>
      <c r="P176" s="8" t="b">
        <f>ABS(ROUND(O176,0))=ABS(ROUND(Q176,0))</f>
        <v>1</v>
      </c>
      <c r="Q176" s="73">
        <v>-1243.5899999999999</v>
      </c>
      <c r="R176" s="53"/>
    </row>
    <row r="177" spans="1:18" ht="15" customHeight="1" x14ac:dyDescent="0.2">
      <c r="A177" s="42" t="s">
        <v>75</v>
      </c>
      <c r="B177" s="33"/>
      <c r="C177" s="33"/>
      <c r="D177" s="21">
        <f t="shared" ref="D177:O177" si="100">($B$61-$B$62)*C89</f>
        <v>-64233.000000000022</v>
      </c>
      <c r="E177" s="21">
        <f t="shared" si="100"/>
        <v>-34909.24244064001</v>
      </c>
      <c r="F177" s="21">
        <f t="shared" si="100"/>
        <v>-22170.366735806125</v>
      </c>
      <c r="G177" s="21">
        <f t="shared" si="100"/>
        <v>-16212.72267582713</v>
      </c>
      <c r="H177" s="21">
        <f t="shared" si="100"/>
        <v>-13036.887787962494</v>
      </c>
      <c r="I177" s="21">
        <f t="shared" si="100"/>
        <v>-11086.551718142102</v>
      </c>
      <c r="J177" s="21">
        <f t="shared" si="100"/>
        <v>-9756.4574063111668</v>
      </c>
      <c r="K177" s="21">
        <f t="shared" si="100"/>
        <v>-8798.4918518163304</v>
      </c>
      <c r="L177" s="21">
        <f t="shared" si="100"/>
        <v>-8097.595616523854</v>
      </c>
      <c r="M177" s="21">
        <f t="shared" si="100"/>
        <v>-7589.8110315180411</v>
      </c>
      <c r="N177" s="21">
        <f t="shared" si="100"/>
        <v>-7232.8037368792884</v>
      </c>
      <c r="O177" s="21">
        <f t="shared" si="100"/>
        <v>-6995.1857285711558</v>
      </c>
      <c r="P177" s="8" t="b">
        <f>ABS(ROUND(O177,0))=ABS(ROUND(Q177,0))</f>
        <v>1</v>
      </c>
      <c r="Q177" s="73">
        <v>-6995.19</v>
      </c>
      <c r="R177" s="53"/>
    </row>
    <row r="178" spans="1:18" ht="12.75" customHeight="1" x14ac:dyDescent="0.15">
      <c r="A178" s="33"/>
      <c r="B178" s="33"/>
      <c r="C178" s="33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8"/>
      <c r="Q178" s="73"/>
      <c r="R178" s="52"/>
    </row>
    <row r="179" spans="1:18" ht="18" customHeight="1" x14ac:dyDescent="0.2">
      <c r="A179" s="40" t="s">
        <v>92</v>
      </c>
      <c r="B179" s="33"/>
      <c r="C179" s="33"/>
      <c r="D179" s="21">
        <f t="shared" ref="D179:O179" si="101">SUM(D180:D183)</f>
        <v>415246.125</v>
      </c>
      <c r="E179" s="21">
        <f t="shared" si="101"/>
        <v>413790.38120278897</v>
      </c>
      <c r="F179" s="21">
        <f t="shared" si="101"/>
        <v>373334.98381938331</v>
      </c>
      <c r="G179" s="21">
        <f t="shared" si="101"/>
        <v>327334.39343715832</v>
      </c>
      <c r="H179" s="21">
        <f t="shared" si="101"/>
        <v>285554.18195283681</v>
      </c>
      <c r="I179" s="21">
        <f t="shared" si="101"/>
        <v>250564.01012280563</v>
      </c>
      <c r="J179" s="21">
        <f t="shared" si="101"/>
        <v>222493.00528299087</v>
      </c>
      <c r="K179" s="21">
        <f t="shared" si="101"/>
        <v>200633.19820400904</v>
      </c>
      <c r="L179" s="21">
        <f t="shared" si="101"/>
        <v>184047.49476376636</v>
      </c>
      <c r="M179" s="21">
        <f t="shared" si="101"/>
        <v>171810.39307351678</v>
      </c>
      <c r="N179" s="21">
        <f t="shared" si="101"/>
        <v>163097.74070999643</v>
      </c>
      <c r="O179" s="21">
        <f t="shared" si="101"/>
        <v>157211.37694024251</v>
      </c>
      <c r="P179" s="8" t="b">
        <f>ABS(ROUND(O179,0))=ABS(ROUND(Q179,0))</f>
        <v>1</v>
      </c>
      <c r="Q179" s="73">
        <v>-157211.38</v>
      </c>
      <c r="R179" s="53"/>
    </row>
    <row r="180" spans="1:18" ht="15" customHeight="1" x14ac:dyDescent="0.2">
      <c r="A180" s="42" t="s">
        <v>63</v>
      </c>
      <c r="B180" s="33"/>
      <c r="C180" s="33"/>
      <c r="D180" s="21">
        <f t="shared" ref="D180:O180" si="102">C141*$B$60</f>
        <v>125298</v>
      </c>
      <c r="E180" s="21">
        <f t="shared" si="102"/>
        <v>117346.69125013336</v>
      </c>
      <c r="F180" s="21">
        <f t="shared" si="102"/>
        <v>99140.227690921733</v>
      </c>
      <c r="G180" s="21">
        <f t="shared" si="102"/>
        <v>83228.03523506294</v>
      </c>
      <c r="H180" s="21">
        <f t="shared" si="102"/>
        <v>70910.137201563892</v>
      </c>
      <c r="I180" s="21">
        <f t="shared" si="102"/>
        <v>61635.451493037988</v>
      </c>
      <c r="J180" s="21">
        <f t="shared" si="102"/>
        <v>54724.617103557546</v>
      </c>
      <c r="K180" s="21">
        <f t="shared" si="102"/>
        <v>49628.722482170051</v>
      </c>
      <c r="L180" s="21">
        <f t="shared" si="102"/>
        <v>45930.928500125679</v>
      </c>
      <c r="M180" s="21">
        <f t="shared" si="102"/>
        <v>43315.699747648905</v>
      </c>
      <c r="N180" s="21">
        <f t="shared" si="102"/>
        <v>41542.3026474367</v>
      </c>
      <c r="O180" s="21">
        <f t="shared" si="102"/>
        <v>40425.576735897579</v>
      </c>
      <c r="P180" s="8" t="b">
        <f>ABS(ROUND(O180,0))=ABS(ROUND(Q180,0))</f>
        <v>1</v>
      </c>
      <c r="Q180" s="73">
        <v>40425.58</v>
      </c>
      <c r="R180" s="53"/>
    </row>
    <row r="181" spans="1:18" ht="15" customHeight="1" x14ac:dyDescent="0.2">
      <c r="A181" s="42" t="s">
        <v>64</v>
      </c>
      <c r="B181" s="33"/>
      <c r="C181" s="33"/>
      <c r="D181" s="21">
        <f t="shared" ref="D181:O181" si="103">C142*$B$61</f>
        <v>194788.12499999997</v>
      </c>
      <c r="E181" s="21">
        <f t="shared" si="103"/>
        <v>244726.29374430006</v>
      </c>
      <c r="F181" s="21">
        <f t="shared" si="103"/>
        <v>241349.76837171178</v>
      </c>
      <c r="G181" s="21">
        <f t="shared" si="103"/>
        <v>220087.50979346261</v>
      </c>
      <c r="H181" s="21">
        <f t="shared" si="103"/>
        <v>195330.13691725439</v>
      </c>
      <c r="I181" s="21">
        <f t="shared" si="103"/>
        <v>172504.03756585342</v>
      </c>
      <c r="J181" s="21">
        <f t="shared" si="103"/>
        <v>153314.3772071205</v>
      </c>
      <c r="K181" s="21">
        <f t="shared" si="103"/>
        <v>137969.67297840741</v>
      </c>
      <c r="L181" s="21">
        <f t="shared" si="103"/>
        <v>126120.12831323498</v>
      </c>
      <c r="M181" s="21">
        <f t="shared" si="103"/>
        <v>117250.52883473002</v>
      </c>
      <c r="N181" s="21">
        <f t="shared" si="103"/>
        <v>110840.17326718301</v>
      </c>
      <c r="O181" s="21">
        <f t="shared" si="103"/>
        <v>106422.56208794322</v>
      </c>
      <c r="P181" s="8" t="b">
        <f>ABS(ROUND(O181,0))=ABS(ROUND(Q181,0))</f>
        <v>1</v>
      </c>
      <c r="Q181" s="73">
        <v>106422.56</v>
      </c>
      <c r="R181" s="53"/>
    </row>
    <row r="182" spans="1:18" ht="15" customHeight="1" x14ac:dyDescent="0.2">
      <c r="A182" s="42" t="s">
        <v>65</v>
      </c>
      <c r="B182" s="33"/>
      <c r="C182" s="33"/>
      <c r="D182" s="21">
        <f t="shared" ref="D182:O182" si="104">C143*$B$62</f>
        <v>95160</v>
      </c>
      <c r="E182" s="21">
        <f t="shared" si="104"/>
        <v>51717.396208355553</v>
      </c>
      <c r="F182" s="21">
        <f t="shared" si="104"/>
        <v>32844.987756749812</v>
      </c>
      <c r="G182" s="21">
        <f t="shared" si="104"/>
        <v>24018.848408632784</v>
      </c>
      <c r="H182" s="21">
        <f t="shared" si="104"/>
        <v>19313.907834018508</v>
      </c>
      <c r="I182" s="21">
        <f t="shared" si="104"/>
        <v>16424.521063914224</v>
      </c>
      <c r="J182" s="21">
        <f t="shared" si="104"/>
        <v>14454.010972312839</v>
      </c>
      <c r="K182" s="21">
        <f t="shared" si="104"/>
        <v>13034.802743431597</v>
      </c>
      <c r="L182" s="21">
        <f t="shared" si="104"/>
        <v>11996.437950405709</v>
      </c>
      <c r="M182" s="21">
        <f t="shared" si="104"/>
        <v>11244.164491137837</v>
      </c>
      <c r="N182" s="21">
        <f t="shared" si="104"/>
        <v>10715.264795376723</v>
      </c>
      <c r="O182" s="21">
        <f t="shared" si="104"/>
        <v>10363.238116401712</v>
      </c>
      <c r="P182" s="8" t="b">
        <f>ABS(ROUND(O182,0))=ABS(ROUND(Q182,0))</f>
        <v>1</v>
      </c>
      <c r="Q182" s="73">
        <v>10363.24</v>
      </c>
      <c r="R182" s="53"/>
    </row>
    <row r="183" spans="1:18" ht="12.75" customHeight="1" x14ac:dyDescent="0.15"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8"/>
      <c r="R183" s="52"/>
    </row>
    <row r="184" spans="1:18" ht="18" customHeight="1" x14ac:dyDescent="0.2">
      <c r="A184" s="40" t="s">
        <v>93</v>
      </c>
      <c r="B184" s="33"/>
      <c r="C184" s="33"/>
      <c r="D184" s="56">
        <f t="shared" ref="D184:O184" si="105">SUM(D114:D116)/C140</f>
        <v>0.48811870776557453</v>
      </c>
      <c r="E184" s="56">
        <f t="shared" si="105"/>
        <v>0.36499605701517374</v>
      </c>
      <c r="F184" s="56">
        <f t="shared" si="105"/>
        <v>0.36426098662096573</v>
      </c>
      <c r="G184" s="56">
        <f t="shared" si="105"/>
        <v>0.39409167257756006</v>
      </c>
      <c r="H184" s="56">
        <f t="shared" si="105"/>
        <v>0.43682668086917043</v>
      </c>
      <c r="I184" s="56">
        <f t="shared" si="105"/>
        <v>0.48711869998824775</v>
      </c>
      <c r="J184" s="56">
        <f t="shared" si="105"/>
        <v>0.54196903572637334</v>
      </c>
      <c r="K184" s="56">
        <f t="shared" si="105"/>
        <v>0.59868027190881556</v>
      </c>
      <c r="L184" s="56">
        <f t="shared" si="105"/>
        <v>0.65460422090668025</v>
      </c>
      <c r="M184" s="56">
        <f t="shared" si="105"/>
        <v>0.70736038941178148</v>
      </c>
      <c r="N184" s="56">
        <f t="shared" si="105"/>
        <v>0.75511088719329045</v>
      </c>
      <c r="O184" s="56">
        <f t="shared" si="105"/>
        <v>0.79672142284566183</v>
      </c>
      <c r="P184" s="8" t="b">
        <f>ROUND(O184,2)=ROUND(Q184,2)</f>
        <v>1</v>
      </c>
      <c r="Q184" s="71">
        <v>0.79700000000000004</v>
      </c>
      <c r="R184" s="41"/>
    </row>
    <row r="185" spans="1:18" ht="18" customHeight="1" x14ac:dyDescent="0.2">
      <c r="A185" s="40" t="s">
        <v>94</v>
      </c>
      <c r="B185" s="33"/>
      <c r="C185" s="33"/>
      <c r="D185" s="56">
        <f t="shared" ref="D185:O185" si="106">(C161+D166+D174-D179)/C161</f>
        <v>0.84661714580016856</v>
      </c>
      <c r="E185" s="56">
        <f t="shared" si="106"/>
        <v>0.79789024967706557</v>
      </c>
      <c r="F185" s="56">
        <f t="shared" si="106"/>
        <v>0.78361739562697541</v>
      </c>
      <c r="G185" s="56">
        <f t="shared" si="106"/>
        <v>0.77872208030966605</v>
      </c>
      <c r="H185" s="56">
        <f t="shared" si="106"/>
        <v>0.77768253562475165</v>
      </c>
      <c r="I185" s="56">
        <f t="shared" si="106"/>
        <v>0.77875988800013396</v>
      </c>
      <c r="J185" s="56">
        <f t="shared" si="106"/>
        <v>0.78114307216881174</v>
      </c>
      <c r="K185" s="56">
        <f t="shared" si="106"/>
        <v>0.78430101602166646</v>
      </c>
      <c r="L185" s="56">
        <f t="shared" si="106"/>
        <v>0.78782474429076688</v>
      </c>
      <c r="M185" s="56">
        <f t="shared" si="106"/>
        <v>0.79139369012433025</v>
      </c>
      <c r="N185" s="56">
        <f t="shared" si="106"/>
        <v>0.7947726181854694</v>
      </c>
      <c r="O185" s="56">
        <f t="shared" si="106"/>
        <v>0.79780989342918274</v>
      </c>
      <c r="P185" s="8" t="b">
        <f>ROUND(O185,2)=ROUND(Q185,2)</f>
        <v>1</v>
      </c>
      <c r="Q185" s="71">
        <v>0.79800000000000004</v>
      </c>
      <c r="R185" s="41"/>
    </row>
    <row r="186" spans="1:18" ht="12.75" customHeight="1" x14ac:dyDescent="0.1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8"/>
      <c r="R186" s="33"/>
    </row>
    <row r="187" spans="1:18" ht="18" customHeight="1" x14ac:dyDescent="0.2">
      <c r="A187" s="6" t="s">
        <v>95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8"/>
      <c r="R187" s="33"/>
    </row>
    <row r="188" spans="1:18" ht="18" customHeight="1" x14ac:dyDescent="0.2">
      <c r="A188" s="40" t="s">
        <v>96</v>
      </c>
      <c r="P188" s="8"/>
      <c r="R188" s="33"/>
    </row>
    <row r="189" spans="1:18" ht="15" customHeight="1" x14ac:dyDescent="0.2">
      <c r="A189" s="42" t="s">
        <v>63</v>
      </c>
      <c r="B189" s="57">
        <f>(B60*$B$49)+$B$50</f>
        <v>3.2</v>
      </c>
      <c r="D189">
        <f t="shared" ref="D189:O189" si="107">$B$60*$B$49+$B$50</f>
        <v>3.2</v>
      </c>
      <c r="E189">
        <f t="shared" si="107"/>
        <v>3.2</v>
      </c>
      <c r="F189">
        <f t="shared" si="107"/>
        <v>3.2</v>
      </c>
      <c r="G189">
        <f t="shared" si="107"/>
        <v>3.2</v>
      </c>
      <c r="H189">
        <f t="shared" si="107"/>
        <v>3.2</v>
      </c>
      <c r="I189">
        <f t="shared" si="107"/>
        <v>3.2</v>
      </c>
      <c r="J189">
        <f t="shared" si="107"/>
        <v>3.2</v>
      </c>
      <c r="K189">
        <f t="shared" si="107"/>
        <v>3.2</v>
      </c>
      <c r="L189">
        <f t="shared" si="107"/>
        <v>3.2</v>
      </c>
      <c r="M189">
        <f t="shared" si="107"/>
        <v>3.2</v>
      </c>
      <c r="N189">
        <f t="shared" si="107"/>
        <v>3.2</v>
      </c>
      <c r="O189">
        <f t="shared" si="107"/>
        <v>3.2</v>
      </c>
      <c r="P189" s="8"/>
      <c r="R189" s="33"/>
    </row>
    <row r="190" spans="1:18" ht="15" customHeight="1" x14ac:dyDescent="0.2">
      <c r="A190" s="42" t="s">
        <v>64</v>
      </c>
      <c r="B190" s="57">
        <f>(B61*$B$49)+$B$50</f>
        <v>7.55</v>
      </c>
      <c r="D190">
        <f t="shared" ref="D190:O190" si="108">$B$61*$B$49+$B$50</f>
        <v>7.55</v>
      </c>
      <c r="E190">
        <f t="shared" si="108"/>
        <v>7.55</v>
      </c>
      <c r="F190">
        <f t="shared" si="108"/>
        <v>7.55</v>
      </c>
      <c r="G190">
        <f t="shared" si="108"/>
        <v>7.55</v>
      </c>
      <c r="H190">
        <f t="shared" si="108"/>
        <v>7.55</v>
      </c>
      <c r="I190">
        <f t="shared" si="108"/>
        <v>7.55</v>
      </c>
      <c r="J190">
        <f t="shared" si="108"/>
        <v>7.55</v>
      </c>
      <c r="K190">
        <f t="shared" si="108"/>
        <v>7.55</v>
      </c>
      <c r="L190">
        <f t="shared" si="108"/>
        <v>7.55</v>
      </c>
      <c r="M190">
        <f t="shared" si="108"/>
        <v>7.55</v>
      </c>
      <c r="N190">
        <f t="shared" si="108"/>
        <v>7.55</v>
      </c>
      <c r="O190">
        <f t="shared" si="108"/>
        <v>7.55</v>
      </c>
      <c r="P190" s="8"/>
      <c r="R190" s="33"/>
    </row>
    <row r="191" spans="1:18" ht="15" customHeight="1" x14ac:dyDescent="0.2">
      <c r="A191" s="42" t="s">
        <v>65</v>
      </c>
      <c r="B191" s="57">
        <f>(B62*$B$49)+$B$50</f>
        <v>14.8</v>
      </c>
      <c r="D191">
        <f t="shared" ref="D191:O191" si="109">$B$62*$B$49+$B$50</f>
        <v>14.8</v>
      </c>
      <c r="E191">
        <f t="shared" si="109"/>
        <v>14.8</v>
      </c>
      <c r="F191">
        <f t="shared" si="109"/>
        <v>14.8</v>
      </c>
      <c r="G191">
        <f t="shared" si="109"/>
        <v>14.8</v>
      </c>
      <c r="H191">
        <f t="shared" si="109"/>
        <v>14.8</v>
      </c>
      <c r="I191">
        <f t="shared" si="109"/>
        <v>14.8</v>
      </c>
      <c r="J191">
        <f t="shared" si="109"/>
        <v>14.8</v>
      </c>
      <c r="K191">
        <f t="shared" si="109"/>
        <v>14.8</v>
      </c>
      <c r="L191">
        <f t="shared" si="109"/>
        <v>14.8</v>
      </c>
      <c r="M191">
        <f t="shared" si="109"/>
        <v>14.8</v>
      </c>
      <c r="N191">
        <f t="shared" si="109"/>
        <v>14.8</v>
      </c>
      <c r="O191">
        <f t="shared" si="109"/>
        <v>14.8</v>
      </c>
      <c r="P191" s="8"/>
      <c r="R191" s="33"/>
    </row>
    <row r="192" spans="1:18" ht="18" customHeight="1" x14ac:dyDescent="0.2">
      <c r="A192" s="40" t="s">
        <v>97</v>
      </c>
      <c r="P192" s="8"/>
      <c r="Q192" s="73"/>
      <c r="R192" s="52"/>
    </row>
    <row r="193" spans="1:18" ht="15" customHeight="1" x14ac:dyDescent="0.2">
      <c r="A193" s="42" t="s">
        <v>63</v>
      </c>
      <c r="B193" s="22"/>
      <c r="C193" s="57">
        <f t="shared" ref="C193:O193" si="110">($B$189*C124)</f>
        <v>22275.200000000001</v>
      </c>
      <c r="D193" s="57">
        <f t="shared" si="110"/>
        <v>20861.634000023707</v>
      </c>
      <c r="E193" s="57">
        <f t="shared" si="110"/>
        <v>17624.929367274974</v>
      </c>
      <c r="F193" s="57">
        <f t="shared" si="110"/>
        <v>14796.095152900078</v>
      </c>
      <c r="G193" s="57">
        <f t="shared" si="110"/>
        <v>12606.24661361136</v>
      </c>
      <c r="H193" s="57">
        <f t="shared" si="110"/>
        <v>10957.413598762309</v>
      </c>
      <c r="I193" s="57">
        <f t="shared" si="110"/>
        <v>9728.8208184102295</v>
      </c>
      <c r="J193" s="57">
        <f t="shared" si="110"/>
        <v>8822.8839968302309</v>
      </c>
      <c r="K193" s="57">
        <f t="shared" si="110"/>
        <v>8165.498400022343</v>
      </c>
      <c r="L193" s="57">
        <f t="shared" si="110"/>
        <v>7700.5688440264712</v>
      </c>
      <c r="M193" s="57">
        <f t="shared" si="110"/>
        <v>7385.2982484331915</v>
      </c>
      <c r="N193" s="57">
        <f t="shared" si="110"/>
        <v>7186.769197492903</v>
      </c>
      <c r="O193" s="57">
        <f t="shared" si="110"/>
        <v>7079.5030002237927</v>
      </c>
      <c r="P193" s="8" t="b">
        <f>ROUND(O193,0)=ROUND(Q193,0)</f>
        <v>1</v>
      </c>
      <c r="Q193" s="73">
        <v>7079.5</v>
      </c>
      <c r="R193" s="53"/>
    </row>
    <row r="194" spans="1:18" ht="15" customHeight="1" x14ac:dyDescent="0.2">
      <c r="A194" s="42" t="s">
        <v>64</v>
      </c>
      <c r="B194" s="22"/>
      <c r="C194" s="57">
        <f t="shared" ref="C194:O194" si="111">($B$190*C125)</f>
        <v>15379.35</v>
      </c>
      <c r="D194" s="57">
        <f t="shared" si="111"/>
        <v>19322.180577981337</v>
      </c>
      <c r="E194" s="57">
        <f t="shared" si="111"/>
        <v>19055.589555099858</v>
      </c>
      <c r="F194" s="57">
        <f t="shared" si="111"/>
        <v>17376.843910490381</v>
      </c>
      <c r="G194" s="57">
        <f t="shared" si="111"/>
        <v>15422.144143532241</v>
      </c>
      <c r="H194" s="57">
        <f t="shared" si="111"/>
        <v>13619.92662611444</v>
      </c>
      <c r="I194" s="57">
        <f t="shared" si="111"/>
        <v>12104.821416091607</v>
      </c>
      <c r="J194" s="57">
        <f t="shared" si="111"/>
        <v>10893.291827314779</v>
      </c>
      <c r="K194" s="57">
        <f t="shared" si="111"/>
        <v>9957.7199347965907</v>
      </c>
      <c r="L194" s="57">
        <f t="shared" si="111"/>
        <v>9257.42737466365</v>
      </c>
      <c r="M194" s="57">
        <f t="shared" si="111"/>
        <v>8751.3025690690902</v>
      </c>
      <c r="N194" s="57">
        <f t="shared" si="111"/>
        <v>8402.5133988389152</v>
      </c>
      <c r="O194" s="57">
        <f t="shared" si="111"/>
        <v>8179.8274679495926</v>
      </c>
      <c r="P194" s="8" t="b">
        <f>ROUND(O194,0)=ROUND(Q194,0)</f>
        <v>1</v>
      </c>
      <c r="Q194" s="73">
        <v>8179.83</v>
      </c>
      <c r="R194" s="53"/>
    </row>
    <row r="195" spans="1:18" ht="15" customHeight="1" x14ac:dyDescent="0.2">
      <c r="A195" s="42" t="s">
        <v>65</v>
      </c>
      <c r="B195" s="22"/>
      <c r="C195" s="57">
        <f t="shared" ref="C195:O195" si="112">($B$191*C126)</f>
        <v>11736.400000000001</v>
      </c>
      <c r="D195" s="57">
        <f t="shared" si="112"/>
        <v>6378.478865697185</v>
      </c>
      <c r="E195" s="57">
        <f t="shared" si="112"/>
        <v>4050.8818233324769</v>
      </c>
      <c r="F195" s="57">
        <f t="shared" si="112"/>
        <v>2962.3246370647103</v>
      </c>
      <c r="G195" s="57">
        <f t="shared" si="112"/>
        <v>2382.0486328622828</v>
      </c>
      <c r="H195" s="57">
        <f t="shared" si="112"/>
        <v>2025.6909312160876</v>
      </c>
      <c r="I195" s="57">
        <f t="shared" si="112"/>
        <v>1782.6613532519168</v>
      </c>
      <c r="J195" s="57">
        <f t="shared" si="112"/>
        <v>1607.6256716898972</v>
      </c>
      <c r="K195" s="57">
        <f t="shared" si="112"/>
        <v>1479.5606805500374</v>
      </c>
      <c r="L195" s="57">
        <f t="shared" si="112"/>
        <v>1386.7802872403333</v>
      </c>
      <c r="M195" s="57">
        <f t="shared" si="112"/>
        <v>1321.5493247631291</v>
      </c>
      <c r="N195" s="57">
        <f t="shared" si="112"/>
        <v>1278.1327010228779</v>
      </c>
      <c r="O195" s="57">
        <f t="shared" si="112"/>
        <v>1252.0445773123856</v>
      </c>
      <c r="P195" s="8" t="b">
        <f>ROUND(O195,0)=ROUND(Q195,0)</f>
        <v>1</v>
      </c>
      <c r="Q195" s="73">
        <v>1252.04</v>
      </c>
      <c r="R195" s="53"/>
    </row>
    <row r="196" spans="1:18" ht="12.75" customHeight="1" x14ac:dyDescent="0.15">
      <c r="P196" s="8"/>
      <c r="Q196" s="73"/>
      <c r="R196" s="52"/>
    </row>
    <row r="197" spans="1:18" ht="18" customHeight="1" x14ac:dyDescent="0.2">
      <c r="A197" s="40" t="s">
        <v>98</v>
      </c>
      <c r="C197" s="58">
        <f t="shared" ref="C197:O197" si="113">SUM(C193:C195)</f>
        <v>49390.950000000004</v>
      </c>
      <c r="D197" s="58">
        <f t="shared" si="113"/>
        <v>46562.293443702227</v>
      </c>
      <c r="E197" s="58">
        <f t="shared" si="113"/>
        <v>40731.400745707309</v>
      </c>
      <c r="F197" s="58">
        <f t="shared" si="113"/>
        <v>35135.263700455165</v>
      </c>
      <c r="G197" s="58">
        <f t="shared" si="113"/>
        <v>30410.439390005882</v>
      </c>
      <c r="H197" s="58">
        <f t="shared" si="113"/>
        <v>26603.031156092835</v>
      </c>
      <c r="I197" s="58">
        <f t="shared" si="113"/>
        <v>23616.303587753755</v>
      </c>
      <c r="J197" s="58">
        <f t="shared" si="113"/>
        <v>21323.801495834905</v>
      </c>
      <c r="K197" s="58">
        <f t="shared" si="113"/>
        <v>19602.779015368971</v>
      </c>
      <c r="L197" s="58">
        <f t="shared" si="113"/>
        <v>18344.776505930455</v>
      </c>
      <c r="M197" s="58">
        <f t="shared" si="113"/>
        <v>17458.150142265411</v>
      </c>
      <c r="N197" s="58">
        <f t="shared" si="113"/>
        <v>16867.415297354695</v>
      </c>
      <c r="O197" s="57">
        <f t="shared" si="113"/>
        <v>16511.375045485773</v>
      </c>
      <c r="P197" s="8" t="b">
        <f>ROUND(O197,0)=ROUND(Q197,0)</f>
        <v>1</v>
      </c>
      <c r="Q197" s="73">
        <v>16511.38</v>
      </c>
      <c r="R197" s="53"/>
    </row>
    <row r="198" spans="1:18" ht="18" customHeight="1" x14ac:dyDescent="0.2">
      <c r="A198" s="40" t="s">
        <v>99</v>
      </c>
      <c r="B198" s="22"/>
      <c r="C198" s="57">
        <f t="shared" ref="C198:O198" si="114">C197/C123</f>
        <v>5.0445255847206623</v>
      </c>
      <c r="D198" s="57">
        <f t="shared" si="114"/>
        <v>4.8964140524578177</v>
      </c>
      <c r="E198" s="57">
        <f t="shared" si="114"/>
        <v>4.9041964778013929</v>
      </c>
      <c r="F198" s="57">
        <f t="shared" si="114"/>
        <v>4.9309152209328646</v>
      </c>
      <c r="G198" s="57">
        <f t="shared" si="114"/>
        <v>4.9503655947533609</v>
      </c>
      <c r="H198" s="57">
        <f t="shared" si="114"/>
        <v>4.9586019580846266</v>
      </c>
      <c r="I198" s="57">
        <f t="shared" si="114"/>
        <v>4.9572485999228419</v>
      </c>
      <c r="J198" s="57">
        <f t="shared" si="114"/>
        <v>4.9491314239124771</v>
      </c>
      <c r="K198" s="57">
        <f t="shared" si="114"/>
        <v>4.9369916784941221</v>
      </c>
      <c r="L198" s="57">
        <f t="shared" si="114"/>
        <v>4.9230825672837</v>
      </c>
      <c r="M198" s="57">
        <f t="shared" si="114"/>
        <v>4.9090596361384815</v>
      </c>
      <c r="N198" s="57">
        <f t="shared" si="114"/>
        <v>4.8960009088563661</v>
      </c>
      <c r="O198" s="57">
        <f t="shared" si="114"/>
        <v>4.8844974071633409</v>
      </c>
      <c r="P198" s="8" t="b">
        <f>ROUND(O198,0)=ROUND(Q198,0)</f>
        <v>1</v>
      </c>
      <c r="Q198" s="73">
        <v>4.88</v>
      </c>
      <c r="R198" s="53"/>
    </row>
    <row r="199" spans="1:18" ht="12.75" customHeight="1" x14ac:dyDescent="0.15">
      <c r="P199" s="8"/>
      <c r="R199" s="52"/>
    </row>
    <row r="200" spans="1:18" ht="18" customHeight="1" x14ac:dyDescent="0.2">
      <c r="A200" s="6" t="s">
        <v>100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8"/>
      <c r="Q200" s="73"/>
      <c r="R200" s="52"/>
    </row>
    <row r="201" spans="1:18" ht="18" customHeight="1" x14ac:dyDescent="0.2">
      <c r="A201" s="10" t="s">
        <v>101</v>
      </c>
      <c r="C201" s="8"/>
      <c r="D201" s="57">
        <f t="shared" ref="D201:O201" si="115">D161-D197</f>
        <v>1460660.2238318534</v>
      </c>
      <c r="E201" s="57">
        <f t="shared" si="115"/>
        <v>1277881.5442274702</v>
      </c>
      <c r="F201" s="57">
        <f t="shared" si="115"/>
        <v>1102713.427330211</v>
      </c>
      <c r="G201" s="57">
        <f t="shared" si="115"/>
        <v>954676.40788069915</v>
      </c>
      <c r="H201" s="57">
        <f t="shared" si="115"/>
        <v>835242.59612278931</v>
      </c>
      <c r="I201" s="57">
        <f t="shared" si="115"/>
        <v>741456.2939006224</v>
      </c>
      <c r="J201" s="57">
        <f t="shared" si="115"/>
        <v>669408.02889727044</v>
      </c>
      <c r="K201" s="57">
        <f t="shared" si="115"/>
        <v>615280.02976753586</v>
      </c>
      <c r="L201" s="57">
        <f t="shared" si="115"/>
        <v>575686.01553651365</v>
      </c>
      <c r="M201" s="57">
        <f t="shared" si="115"/>
        <v>547757.58753255208</v>
      </c>
      <c r="N201" s="57">
        <f t="shared" si="115"/>
        <v>529128.20143399388</v>
      </c>
      <c r="O201" s="57">
        <f t="shared" si="115"/>
        <v>517877.11116960458</v>
      </c>
      <c r="P201" s="8" t="b">
        <f>ROUND(O201,0)=ROUND(Q201,0)</f>
        <v>1</v>
      </c>
      <c r="Q201" s="73">
        <v>517877.11</v>
      </c>
      <c r="R201" s="53"/>
    </row>
    <row r="202" spans="1:18" ht="18" customHeight="1" x14ac:dyDescent="0.2">
      <c r="A202" s="10" t="s">
        <v>102</v>
      </c>
      <c r="B202" s="59"/>
      <c r="C202" s="60"/>
      <c r="D202" s="61">
        <f t="shared" ref="D202:O202" si="116">D201/D123</f>
        <v>153.60062223919107</v>
      </c>
      <c r="E202" s="61">
        <f t="shared" si="116"/>
        <v>153.86119930845351</v>
      </c>
      <c r="F202" s="61">
        <f t="shared" si="116"/>
        <v>154.75581653537282</v>
      </c>
      <c r="G202" s="61">
        <f t="shared" si="116"/>
        <v>155.40706870708669</v>
      </c>
      <c r="H202" s="61">
        <f t="shared" si="116"/>
        <v>155.68284487241974</v>
      </c>
      <c r="I202" s="61">
        <f t="shared" si="116"/>
        <v>155.63753070776136</v>
      </c>
      <c r="J202" s="61">
        <f t="shared" si="116"/>
        <v>155.36574526272466</v>
      </c>
      <c r="K202" s="61">
        <f t="shared" si="116"/>
        <v>154.95927309716524</v>
      </c>
      <c r="L202" s="61">
        <f t="shared" si="116"/>
        <v>154.49355768387838</v>
      </c>
      <c r="M202" s="61">
        <f t="shared" si="116"/>
        <v>154.02403126518848</v>
      </c>
      <c r="N202" s="61">
        <f t="shared" si="116"/>
        <v>153.58678905170802</v>
      </c>
      <c r="O202" s="61">
        <f t="shared" si="116"/>
        <v>153.2016200812277</v>
      </c>
      <c r="P202" s="8" t="b">
        <f>ROUND(O202,0)=ROUND(Q202,0)</f>
        <v>1</v>
      </c>
      <c r="Q202" s="73">
        <v>153.19999999999999</v>
      </c>
      <c r="R202" s="53"/>
    </row>
    <row r="203" spans="1:18" ht="18" customHeight="1" x14ac:dyDescent="0.2">
      <c r="A203" s="10" t="s">
        <v>103</v>
      </c>
      <c r="B203" s="62"/>
      <c r="C203" s="63"/>
      <c r="D203" s="64">
        <f t="shared" ref="D203:O203" si="117">(D201/D161)</f>
        <v>0.96910722012840689</v>
      </c>
      <c r="E203" s="64">
        <f t="shared" si="117"/>
        <v>0.96911041947450627</v>
      </c>
      <c r="F203" s="64">
        <f t="shared" si="117"/>
        <v>0.96912132168590048</v>
      </c>
      <c r="G203" s="64">
        <f t="shared" si="117"/>
        <v>0.96912917934671294</v>
      </c>
      <c r="H203" s="64">
        <f t="shared" si="117"/>
        <v>0.96913248693958454</v>
      </c>
      <c r="I203" s="64">
        <f t="shared" si="117"/>
        <v>0.96913194425563964</v>
      </c>
      <c r="J203" s="64">
        <f t="shared" si="117"/>
        <v>0.96912868271366726</v>
      </c>
      <c r="K203" s="64">
        <f t="shared" si="117"/>
        <v>0.96912378356416939</v>
      </c>
      <c r="L203" s="64">
        <f t="shared" si="117"/>
        <v>0.96911813873678843</v>
      </c>
      <c r="M203" s="64">
        <f t="shared" si="117"/>
        <v>0.96911241322811592</v>
      </c>
      <c r="N203" s="64">
        <f t="shared" si="117"/>
        <v>0.96910704998268493</v>
      </c>
      <c r="O203" s="64">
        <f t="shared" si="117"/>
        <v>0.96910230015913934</v>
      </c>
      <c r="P203" s="8" t="b">
        <f>ROUND(O203,1)=ROUND(Q203,1)</f>
        <v>1</v>
      </c>
      <c r="Q203" s="75">
        <v>0.96909999999999996</v>
      </c>
      <c r="R203" s="65"/>
    </row>
    <row r="204" spans="1:18" ht="12.75" customHeight="1" x14ac:dyDescent="0.15">
      <c r="P204" s="8"/>
      <c r="R204" s="66"/>
    </row>
    <row r="205" spans="1:18" ht="18" customHeight="1" x14ac:dyDescent="0.2">
      <c r="A205" s="6" t="s">
        <v>104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8"/>
      <c r="Q205" s="73"/>
      <c r="R205" s="52"/>
    </row>
    <row r="206" spans="1:18" ht="18" customHeight="1" x14ac:dyDescent="0.2">
      <c r="A206" s="10" t="s">
        <v>105</v>
      </c>
      <c r="B206" s="22"/>
      <c r="C206" s="57">
        <f t="shared" ref="C206:O206" si="118">C30</f>
        <v>95000</v>
      </c>
      <c r="D206" s="57">
        <f t="shared" si="118"/>
        <v>100000</v>
      </c>
      <c r="E206" s="57">
        <f t="shared" si="118"/>
        <v>105000</v>
      </c>
      <c r="F206" s="57">
        <f t="shared" si="118"/>
        <v>110000</v>
      </c>
      <c r="G206" s="57">
        <f t="shared" si="118"/>
        <v>115000</v>
      </c>
      <c r="H206" s="57">
        <f t="shared" si="118"/>
        <v>120000</v>
      </c>
      <c r="I206" s="57">
        <f t="shared" si="118"/>
        <v>125000</v>
      </c>
      <c r="J206" s="57">
        <f t="shared" si="118"/>
        <v>130000</v>
      </c>
      <c r="K206" s="57">
        <f t="shared" si="118"/>
        <v>135000</v>
      </c>
      <c r="L206" s="57">
        <f t="shared" si="118"/>
        <v>140000</v>
      </c>
      <c r="M206" s="57">
        <f t="shared" si="118"/>
        <v>145000</v>
      </c>
      <c r="N206" s="57">
        <f t="shared" si="118"/>
        <v>150000</v>
      </c>
      <c r="O206" s="57">
        <f t="shared" si="118"/>
        <v>155000</v>
      </c>
      <c r="P206" s="8" t="b">
        <f t="shared" ref="P206:P212" si="119">ROUND(O206,0)=ROUND(Q206,0)</f>
        <v>1</v>
      </c>
      <c r="Q206" s="73">
        <v>155000</v>
      </c>
      <c r="R206" s="53"/>
    </row>
    <row r="207" spans="1:18" ht="18" customHeight="1" x14ac:dyDescent="0.2">
      <c r="A207" s="10" t="s">
        <v>106</v>
      </c>
      <c r="B207" s="22"/>
      <c r="C207" s="57">
        <f t="shared" ref="C207:O207" si="120">2*50*SUM(C23:C25)</f>
        <v>77695.027200000011</v>
      </c>
      <c r="D207" s="57">
        <f t="shared" si="120"/>
        <v>49928.654247539213</v>
      </c>
      <c r="E207" s="57">
        <f t="shared" si="120"/>
        <v>39643.690803038517</v>
      </c>
      <c r="F207" s="57">
        <f t="shared" si="120"/>
        <v>33738.315030705242</v>
      </c>
      <c r="G207" s="57">
        <f t="shared" si="120"/>
        <v>29524.453559281555</v>
      </c>
      <c r="H207" s="57">
        <f t="shared" si="120"/>
        <v>26347.007394026132</v>
      </c>
      <c r="I207" s="57">
        <f t="shared" si="120"/>
        <v>23953.172051832411</v>
      </c>
      <c r="J207" s="57">
        <f t="shared" si="120"/>
        <v>22182.73182417946</v>
      </c>
      <c r="K207" s="57">
        <f t="shared" si="120"/>
        <v>20910.670784035628</v>
      </c>
      <c r="L207" s="57">
        <f t="shared" si="120"/>
        <v>20035.527079491432</v>
      </c>
      <c r="M207" s="57">
        <f t="shared" si="120"/>
        <v>19475.195517623208</v>
      </c>
      <c r="N207" s="57">
        <f t="shared" si="120"/>
        <v>19163.788704582046</v>
      </c>
      <c r="O207" s="57">
        <f t="shared" si="120"/>
        <v>19048.793072218574</v>
      </c>
      <c r="P207" s="8" t="b">
        <f t="shared" si="119"/>
        <v>1</v>
      </c>
      <c r="Q207" s="73">
        <v>19048.79</v>
      </c>
      <c r="R207" s="53"/>
    </row>
    <row r="208" spans="1:18" ht="18" customHeight="1" x14ac:dyDescent="0.2">
      <c r="A208" s="10" t="s">
        <v>107</v>
      </c>
      <c r="B208" s="22"/>
      <c r="C208" s="57">
        <f t="shared" ref="C208:O208" si="121">($B$53*C107)</f>
        <v>42805</v>
      </c>
      <c r="D208" s="57">
        <f t="shared" si="121"/>
        <v>11419.796296296296</v>
      </c>
      <c r="E208" s="57">
        <f t="shared" si="121"/>
        <v>5293.218518518519</v>
      </c>
      <c r="F208" s="57">
        <f t="shared" si="121"/>
        <v>4218.3659259259257</v>
      </c>
      <c r="G208" s="57">
        <f t="shared" si="121"/>
        <v>4153.8583703703707</v>
      </c>
      <c r="H208" s="57">
        <f t="shared" si="121"/>
        <v>4291.4198222222221</v>
      </c>
      <c r="I208" s="57">
        <f t="shared" si="121"/>
        <v>4469.3950755555561</v>
      </c>
      <c r="J208" s="57">
        <f t="shared" si="121"/>
        <v>4655.4530891851846</v>
      </c>
      <c r="K208" s="57">
        <f t="shared" si="121"/>
        <v>4843.1276548740734</v>
      </c>
      <c r="L208" s="57">
        <f t="shared" si="121"/>
        <v>5031.1255309748149</v>
      </c>
      <c r="M208" s="57">
        <f t="shared" si="121"/>
        <v>5219.1880691579263</v>
      </c>
      <c r="N208" s="57">
        <f t="shared" si="121"/>
        <v>5407.2635397575123</v>
      </c>
      <c r="O208" s="57">
        <f t="shared" si="121"/>
        <v>5595.3415968403915</v>
      </c>
      <c r="P208" s="8" t="b">
        <f t="shared" si="119"/>
        <v>1</v>
      </c>
      <c r="Q208" s="73">
        <v>5595.34</v>
      </c>
      <c r="R208" s="53"/>
    </row>
    <row r="209" spans="1:18" ht="18" customHeight="1" x14ac:dyDescent="0.2">
      <c r="A209" s="10" t="s">
        <v>108</v>
      </c>
      <c r="B209" s="22"/>
      <c r="C209" s="57">
        <f t="shared" ref="C209:O209" si="122">($B$54*C124)</f>
        <v>69610</v>
      </c>
      <c r="D209" s="57">
        <f t="shared" si="122"/>
        <v>65192.606250074081</v>
      </c>
      <c r="E209" s="57">
        <f t="shared" si="122"/>
        <v>55077.904272734289</v>
      </c>
      <c r="F209" s="57">
        <f t="shared" si="122"/>
        <v>46237.79735281274</v>
      </c>
      <c r="G209" s="57">
        <f t="shared" si="122"/>
        <v>39394.5206675355</v>
      </c>
      <c r="H209" s="57">
        <f t="shared" si="122"/>
        <v>34241.917496132213</v>
      </c>
      <c r="I209" s="57">
        <f t="shared" si="122"/>
        <v>30402.565057531967</v>
      </c>
      <c r="J209" s="57">
        <f t="shared" si="122"/>
        <v>27571.512490094468</v>
      </c>
      <c r="K209" s="57">
        <f t="shared" si="122"/>
        <v>25517.182500069823</v>
      </c>
      <c r="L209" s="57">
        <f t="shared" si="122"/>
        <v>24064.277637582723</v>
      </c>
      <c r="M209" s="57">
        <f t="shared" si="122"/>
        <v>23079.057026353723</v>
      </c>
      <c r="N209" s="57">
        <f t="shared" si="122"/>
        <v>22458.653742165319</v>
      </c>
      <c r="O209" s="57">
        <f t="shared" si="122"/>
        <v>22123.446875699352</v>
      </c>
      <c r="P209" s="8" t="b">
        <f t="shared" si="119"/>
        <v>1</v>
      </c>
      <c r="Q209" s="73">
        <v>22123.45</v>
      </c>
      <c r="R209" s="53"/>
    </row>
    <row r="210" spans="1:18" ht="18" customHeight="1" x14ac:dyDescent="0.2">
      <c r="A210" s="10" t="s">
        <v>109</v>
      </c>
      <c r="B210" s="22"/>
      <c r="C210" s="57">
        <f t="shared" ref="C210:O210" si="123">($B$55*C125)</f>
        <v>30555</v>
      </c>
      <c r="D210" s="57">
        <f t="shared" si="123"/>
        <v>38388.438234400004</v>
      </c>
      <c r="E210" s="57">
        <f t="shared" si="123"/>
        <v>37858.787195562632</v>
      </c>
      <c r="F210" s="57">
        <f t="shared" si="123"/>
        <v>34523.530947994135</v>
      </c>
      <c r="G210" s="57">
        <f t="shared" si="123"/>
        <v>30640.021477216374</v>
      </c>
      <c r="H210" s="57">
        <f t="shared" si="123"/>
        <v>27059.456873075047</v>
      </c>
      <c r="I210" s="57">
        <f t="shared" si="123"/>
        <v>24049.314071705183</v>
      </c>
      <c r="J210" s="57">
        <f t="shared" si="123"/>
        <v>21642.301643671748</v>
      </c>
      <c r="K210" s="57">
        <f t="shared" si="123"/>
        <v>19783.549539330976</v>
      </c>
      <c r="L210" s="57">
        <f t="shared" si="123"/>
        <v>18392.23981721255</v>
      </c>
      <c r="M210" s="57">
        <f t="shared" si="123"/>
        <v>17386.693845832629</v>
      </c>
      <c r="N210" s="57">
        <f t="shared" si="123"/>
        <v>16693.735229481288</v>
      </c>
      <c r="O210" s="57">
        <f t="shared" si="123"/>
        <v>16251.312850230979</v>
      </c>
      <c r="P210" s="8" t="b">
        <f t="shared" si="119"/>
        <v>1</v>
      </c>
      <c r="Q210" s="73">
        <v>16251.31</v>
      </c>
      <c r="R210" s="53"/>
    </row>
    <row r="211" spans="1:18" ht="18" customHeight="1" x14ac:dyDescent="0.2">
      <c r="A211" s="10" t="s">
        <v>110</v>
      </c>
      <c r="B211" s="22"/>
      <c r="C211" s="57">
        <f t="shared" ref="C211:O211" si="124">($B$56*C126)</f>
        <v>18239</v>
      </c>
      <c r="D211" s="57">
        <f t="shared" si="124"/>
        <v>9912.5009399348146</v>
      </c>
      <c r="E211" s="57">
        <f t="shared" si="124"/>
        <v>6295.2893200437138</v>
      </c>
      <c r="F211" s="57">
        <f t="shared" si="124"/>
        <v>4603.6126116546166</v>
      </c>
      <c r="G211" s="57">
        <f t="shared" si="124"/>
        <v>3701.8323348535473</v>
      </c>
      <c r="H211" s="57">
        <f t="shared" si="124"/>
        <v>3148.0332039168929</v>
      </c>
      <c r="I211" s="57">
        <f t="shared" si="124"/>
        <v>2770.3521030266274</v>
      </c>
      <c r="J211" s="57">
        <f t="shared" si="124"/>
        <v>2498.3371924910566</v>
      </c>
      <c r="K211" s="57">
        <f t="shared" si="124"/>
        <v>2299.3172738277608</v>
      </c>
      <c r="L211" s="57">
        <f t="shared" si="124"/>
        <v>2155.1315274680856</v>
      </c>
      <c r="M211" s="57">
        <f t="shared" si="124"/>
        <v>2053.7590857805385</v>
      </c>
      <c r="N211" s="57">
        <f t="shared" si="124"/>
        <v>1986.2873056436615</v>
      </c>
      <c r="O211" s="57">
        <f t="shared" si="124"/>
        <v>1945.7449512287071</v>
      </c>
      <c r="P211" s="8" t="b">
        <f t="shared" si="119"/>
        <v>1</v>
      </c>
      <c r="Q211" s="73">
        <v>1945.74</v>
      </c>
      <c r="R211" s="53"/>
    </row>
    <row r="212" spans="1:18" ht="18" customHeight="1" x14ac:dyDescent="0.2">
      <c r="A212" s="10" t="s">
        <v>111</v>
      </c>
      <c r="C212" s="58">
        <f t="shared" ref="C212:O212" si="125">SUM(C206:C211)</f>
        <v>333904.02720000001</v>
      </c>
      <c r="D212" s="58">
        <f t="shared" si="125"/>
        <v>274841.99596824439</v>
      </c>
      <c r="E212" s="58">
        <f t="shared" si="125"/>
        <v>249168.89010989768</v>
      </c>
      <c r="F212" s="58">
        <f t="shared" si="125"/>
        <v>233321.62186909269</v>
      </c>
      <c r="G212" s="58">
        <f t="shared" si="125"/>
        <v>222414.68640925735</v>
      </c>
      <c r="H212" s="58">
        <f t="shared" si="125"/>
        <v>215087.83478937249</v>
      </c>
      <c r="I212" s="58">
        <f t="shared" si="125"/>
        <v>210644.79835965176</v>
      </c>
      <c r="J212" s="58">
        <f t="shared" si="125"/>
        <v>208550.33623962192</v>
      </c>
      <c r="K212" s="58">
        <f t="shared" si="125"/>
        <v>208353.84775213827</v>
      </c>
      <c r="L212" s="58">
        <f t="shared" si="125"/>
        <v>209678.30159272961</v>
      </c>
      <c r="M212" s="58">
        <f t="shared" si="125"/>
        <v>212213.89354474802</v>
      </c>
      <c r="N212" s="58">
        <f t="shared" si="125"/>
        <v>215709.72852162988</v>
      </c>
      <c r="O212" s="57">
        <f t="shared" si="125"/>
        <v>219964.639346218</v>
      </c>
      <c r="P212" s="8" t="b">
        <f t="shared" si="119"/>
        <v>1</v>
      </c>
      <c r="Q212" s="73">
        <v>219964.64</v>
      </c>
      <c r="R212" s="53"/>
    </row>
    <row r="213" spans="1:18" ht="12.75" customHeight="1" x14ac:dyDescent="0.15">
      <c r="P213" s="8"/>
      <c r="R213" s="52"/>
    </row>
    <row r="214" spans="1:18" ht="18" customHeight="1" x14ac:dyDescent="0.2">
      <c r="A214" s="6" t="s">
        <v>112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8"/>
      <c r="Q214" s="73"/>
      <c r="R214" s="52"/>
    </row>
    <row r="215" spans="1:18" ht="18" customHeight="1" x14ac:dyDescent="0.2">
      <c r="A215" s="10" t="s">
        <v>113</v>
      </c>
      <c r="C215" s="55"/>
      <c r="D215" s="61">
        <f t="shared" ref="D215:O215" si="126">D201-D212</f>
        <v>1185818.2278636089</v>
      </c>
      <c r="E215" s="61">
        <f t="shared" si="126"/>
        <v>1028712.6541175725</v>
      </c>
      <c r="F215" s="61">
        <f t="shared" si="126"/>
        <v>869391.80546111835</v>
      </c>
      <c r="G215" s="61">
        <f t="shared" si="126"/>
        <v>732261.72147144179</v>
      </c>
      <c r="H215" s="61">
        <f t="shared" si="126"/>
        <v>620154.7613334168</v>
      </c>
      <c r="I215" s="61">
        <f t="shared" si="126"/>
        <v>530811.4955409707</v>
      </c>
      <c r="J215" s="61">
        <f t="shared" si="126"/>
        <v>460857.69265764853</v>
      </c>
      <c r="K215" s="61">
        <f t="shared" si="126"/>
        <v>406926.18201539759</v>
      </c>
      <c r="L215" s="61">
        <f t="shared" si="126"/>
        <v>366007.71394378401</v>
      </c>
      <c r="M215" s="61">
        <f t="shared" si="126"/>
        <v>335543.69398780406</v>
      </c>
      <c r="N215" s="61">
        <f t="shared" si="126"/>
        <v>313418.472912364</v>
      </c>
      <c r="O215" s="61">
        <f t="shared" si="126"/>
        <v>297912.47182338662</v>
      </c>
      <c r="P215" s="8" t="b">
        <f>ROUND(O215,0)=ROUND(Q215,0)</f>
        <v>1</v>
      </c>
      <c r="Q215" s="76">
        <v>297912.46999999997</v>
      </c>
      <c r="R215" s="53"/>
    </row>
    <row r="216" spans="1:18" ht="18" customHeight="1" x14ac:dyDescent="0.2">
      <c r="A216" s="10" t="s">
        <v>114</v>
      </c>
      <c r="B216" s="59"/>
      <c r="C216" s="55"/>
      <c r="D216" s="61">
        <f t="shared" ref="D216:O216" si="127">D215/D123</f>
        <v>124.69869083214854</v>
      </c>
      <c r="E216" s="61">
        <f t="shared" si="127"/>
        <v>123.8604340295077</v>
      </c>
      <c r="F216" s="61">
        <f t="shared" si="127"/>
        <v>122.01124554095769</v>
      </c>
      <c r="G216" s="61">
        <f t="shared" si="127"/>
        <v>119.20127775327066</v>
      </c>
      <c r="H216" s="61">
        <f t="shared" si="127"/>
        <v>115.59211413993707</v>
      </c>
      <c r="I216" s="61">
        <f t="shared" si="127"/>
        <v>111.42152425826377</v>
      </c>
      <c r="J216" s="61">
        <f t="shared" si="127"/>
        <v>106.96241423600176</v>
      </c>
      <c r="K216" s="61">
        <f t="shared" si="127"/>
        <v>102.48501872088202</v>
      </c>
      <c r="L216" s="61">
        <f t="shared" si="127"/>
        <v>98.223393205444225</v>
      </c>
      <c r="M216" s="61">
        <f t="shared" si="127"/>
        <v>94.35157739470479</v>
      </c>
      <c r="N216" s="61">
        <f t="shared" si="127"/>
        <v>90.974052703377893</v>
      </c>
      <c r="O216" s="61">
        <f t="shared" si="127"/>
        <v>88.130315747433414</v>
      </c>
      <c r="P216" s="8" t="b">
        <f>ROUND(O216,0)=ROUND(Q216,0)</f>
        <v>1</v>
      </c>
      <c r="Q216" s="76">
        <v>88.13</v>
      </c>
      <c r="R216" s="53"/>
    </row>
    <row r="217" spans="1:18" ht="18" customHeight="1" x14ac:dyDescent="0.2">
      <c r="A217" s="10" t="s">
        <v>115</v>
      </c>
      <c r="B217" s="62"/>
      <c r="C217" s="62"/>
      <c r="D217" s="64">
        <f t="shared" ref="D217:O217" si="128">D215/D161</f>
        <v>0.78675724007035486</v>
      </c>
      <c r="E217" s="64">
        <f t="shared" si="128"/>
        <v>0.78014754673783215</v>
      </c>
      <c r="F217" s="64">
        <f t="shared" si="128"/>
        <v>0.76406627024689988</v>
      </c>
      <c r="G217" s="64">
        <f t="shared" si="128"/>
        <v>0.74334737439674081</v>
      </c>
      <c r="H217" s="64">
        <f t="shared" si="128"/>
        <v>0.71956594279121711</v>
      </c>
      <c r="I217" s="64">
        <f t="shared" si="128"/>
        <v>0.69380539478678083</v>
      </c>
      <c r="J217" s="64">
        <f t="shared" si="128"/>
        <v>0.66720204915903147</v>
      </c>
      <c r="K217" s="64">
        <f t="shared" si="128"/>
        <v>0.64094692183505642</v>
      </c>
      <c r="L217" s="64">
        <f t="shared" si="128"/>
        <v>0.61614266271508766</v>
      </c>
      <c r="M217" s="64">
        <f t="shared" si="128"/>
        <v>0.59365596465548276</v>
      </c>
      <c r="N217" s="64">
        <f t="shared" si="128"/>
        <v>0.57403111546695484</v>
      </c>
      <c r="O217" s="64">
        <f t="shared" si="128"/>
        <v>0.55748295389634839</v>
      </c>
      <c r="P217" s="8" t="b">
        <f>ROUND(O217,2)=ROUND(Q217,2)</f>
        <v>1</v>
      </c>
      <c r="Q217" s="77">
        <v>0.5575</v>
      </c>
      <c r="R217" s="65"/>
    </row>
    <row r="218" spans="1:18" ht="18" customHeight="1" x14ac:dyDescent="0.2">
      <c r="A218" s="10"/>
      <c r="P218" s="8"/>
    </row>
    <row r="219" spans="1:18" ht="18" customHeight="1" x14ac:dyDescent="0.2">
      <c r="A219" s="10"/>
      <c r="O219" s="67"/>
      <c r="P219" s="8"/>
    </row>
    <row r="220" spans="1:18" ht="18" customHeight="1" x14ac:dyDescent="0.2">
      <c r="A220" s="10"/>
      <c r="O220" s="55"/>
      <c r="P220" s="8"/>
    </row>
    <row r="221" spans="1:18" ht="12.75" customHeight="1" x14ac:dyDescent="0.15">
      <c r="O221" s="55"/>
      <c r="P221" s="8"/>
    </row>
    <row r="222" spans="1:18" ht="12.75" customHeight="1" x14ac:dyDescent="0.15">
      <c r="O222" s="62"/>
      <c r="P222" s="8"/>
    </row>
    <row r="223" spans="1:18" ht="12.75" customHeight="1" x14ac:dyDescent="0.15">
      <c r="P223" s="8"/>
    </row>
    <row r="224" spans="1:18" ht="12.75" customHeight="1" x14ac:dyDescent="0.15">
      <c r="P224" s="8"/>
    </row>
    <row r="225" spans="4:17" ht="12.75" customHeight="1" x14ac:dyDescent="0.15">
      <c r="P225" s="8"/>
    </row>
    <row r="226" spans="4:17" ht="12.75" customHeight="1" x14ac:dyDescent="0.15"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8"/>
    </row>
    <row r="227" spans="4:17" ht="12.75" customHeight="1" x14ac:dyDescent="0.15"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8"/>
      <c r="Q227" s="70"/>
    </row>
    <row r="228" spans="4:17" ht="12.75" customHeight="1" x14ac:dyDescent="0.15"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8"/>
      <c r="Q228" s="78"/>
    </row>
    <row r="229" spans="4:17" ht="12.75" customHeight="1" x14ac:dyDescent="0.15">
      <c r="P229" s="8"/>
      <c r="Q229" s="78"/>
    </row>
    <row r="230" spans="4:17" ht="12.75" customHeight="1" x14ac:dyDescent="0.15">
      <c r="P230" s="8"/>
    </row>
    <row r="231" spans="4:17" ht="12.75" customHeight="1" x14ac:dyDescent="0.15">
      <c r="P231" s="8"/>
    </row>
    <row r="232" spans="4:17" ht="12.75" customHeight="1" x14ac:dyDescent="0.15">
      <c r="P232" s="8"/>
    </row>
    <row r="233" spans="4:17" ht="12.75" customHeight="1" x14ac:dyDescent="0.15">
      <c r="P233" s="8"/>
    </row>
    <row r="234" spans="4:17" ht="12.75" customHeight="1" x14ac:dyDescent="0.15">
      <c r="P234" s="8"/>
    </row>
    <row r="235" spans="4:17" ht="12.75" customHeight="1" x14ac:dyDescent="0.15">
      <c r="P235" s="8"/>
    </row>
    <row r="236" spans="4:17" ht="12.75" customHeight="1" x14ac:dyDescent="0.15">
      <c r="P236" s="8"/>
    </row>
    <row r="237" spans="4:17" ht="12.75" customHeight="1" x14ac:dyDescent="0.15">
      <c r="P237" s="8"/>
    </row>
    <row r="238" spans="4:17" ht="12.75" customHeight="1" x14ac:dyDescent="0.15">
      <c r="P238" s="8"/>
    </row>
    <row r="239" spans="4:17" ht="12.75" customHeight="1" x14ac:dyDescent="0.15">
      <c r="P239" s="8"/>
    </row>
    <row r="240" spans="4:17" ht="12.75" customHeight="1" x14ac:dyDescent="0.15">
      <c r="P240" s="8"/>
    </row>
    <row r="241" spans="16:16" ht="12.75" customHeight="1" x14ac:dyDescent="0.15">
      <c r="P241" s="8"/>
    </row>
    <row r="242" spans="16:16" ht="12.75" customHeight="1" x14ac:dyDescent="0.15">
      <c r="P242" s="8"/>
    </row>
    <row r="243" spans="16:16" ht="12.75" customHeight="1" x14ac:dyDescent="0.15">
      <c r="P243" s="8"/>
    </row>
    <row r="244" spans="16:16" ht="12.75" customHeight="1" x14ac:dyDescent="0.15">
      <c r="P244" s="8"/>
    </row>
    <row r="245" spans="16:16" ht="12.75" customHeight="1" x14ac:dyDescent="0.15">
      <c r="P245" s="8"/>
    </row>
    <row r="246" spans="16:16" ht="12.75" customHeight="1" x14ac:dyDescent="0.15">
      <c r="P246" s="8"/>
    </row>
    <row r="247" spans="16:16" ht="12.75" customHeight="1" x14ac:dyDescent="0.15">
      <c r="P247" s="8"/>
    </row>
    <row r="248" spans="16:16" ht="12.75" customHeight="1" x14ac:dyDescent="0.15">
      <c r="P248" s="8"/>
    </row>
    <row r="249" spans="16:16" ht="12.75" customHeight="1" x14ac:dyDescent="0.15">
      <c r="P249" s="8"/>
    </row>
    <row r="250" spans="16:16" ht="12.75" customHeight="1" x14ac:dyDescent="0.15">
      <c r="P250" s="8"/>
    </row>
    <row r="251" spans="16:16" ht="12.75" customHeight="1" x14ac:dyDescent="0.15">
      <c r="P251" s="8"/>
    </row>
    <row r="252" spans="16:16" ht="12.75" customHeight="1" x14ac:dyDescent="0.15">
      <c r="P252" s="8"/>
    </row>
    <row r="253" spans="16:16" ht="12.75" customHeight="1" x14ac:dyDescent="0.15">
      <c r="P253" s="8"/>
    </row>
    <row r="254" spans="16:16" ht="12.75" customHeight="1" x14ac:dyDescent="0.15">
      <c r="P254" s="8"/>
    </row>
    <row r="255" spans="16:16" ht="12.75" customHeight="1" x14ac:dyDescent="0.15">
      <c r="P255" s="8"/>
    </row>
    <row r="256" spans="16:16" ht="12.75" customHeight="1" x14ac:dyDescent="0.15">
      <c r="P256" s="8"/>
    </row>
    <row r="257" spans="16:16" ht="12.75" customHeight="1" x14ac:dyDescent="0.15">
      <c r="P257" s="8"/>
    </row>
    <row r="258" spans="16:16" ht="12.75" customHeight="1" x14ac:dyDescent="0.15">
      <c r="P258" s="8"/>
    </row>
    <row r="259" spans="16:16" ht="12.75" customHeight="1" x14ac:dyDescent="0.15">
      <c r="P259" s="8"/>
    </row>
    <row r="260" spans="16:16" ht="12.75" customHeight="1" x14ac:dyDescent="0.15">
      <c r="P260" s="8"/>
    </row>
    <row r="261" spans="16:16" ht="12.75" customHeight="1" x14ac:dyDescent="0.15">
      <c r="P261" s="8"/>
    </row>
    <row r="262" spans="16:16" ht="12.75" customHeight="1" x14ac:dyDescent="0.15">
      <c r="P262" s="8"/>
    </row>
    <row r="263" spans="16:16" ht="12.75" customHeight="1" x14ac:dyDescent="0.15">
      <c r="P263" s="8"/>
    </row>
    <row r="264" spans="16:16" ht="12.75" customHeight="1" x14ac:dyDescent="0.15">
      <c r="P264" s="8"/>
    </row>
    <row r="265" spans="16:16" ht="12.75" customHeight="1" x14ac:dyDescent="0.15">
      <c r="P265" s="8"/>
    </row>
    <row r="266" spans="16:16" ht="12.75" customHeight="1" x14ac:dyDescent="0.15">
      <c r="P266" s="8"/>
    </row>
    <row r="267" spans="16:16" ht="12.75" customHeight="1" x14ac:dyDescent="0.15">
      <c r="P267" s="8"/>
    </row>
    <row r="268" spans="16:16" ht="12.75" customHeight="1" x14ac:dyDescent="0.15">
      <c r="P268" s="8"/>
    </row>
    <row r="269" spans="16:16" ht="12.75" customHeight="1" x14ac:dyDescent="0.15">
      <c r="P269" s="8"/>
    </row>
    <row r="270" spans="16:16" ht="12.75" customHeight="1" x14ac:dyDescent="0.15">
      <c r="P270" s="8"/>
    </row>
    <row r="271" spans="16:16" ht="12.75" customHeight="1" x14ac:dyDescent="0.15">
      <c r="P271" s="8"/>
    </row>
    <row r="272" spans="16:16" ht="12.75" customHeight="1" x14ac:dyDescent="0.15">
      <c r="P272" s="8"/>
    </row>
    <row r="273" spans="16:16" ht="12.75" customHeight="1" x14ac:dyDescent="0.15">
      <c r="P273" s="8"/>
    </row>
    <row r="274" spans="16:16" ht="12.75" customHeight="1" x14ac:dyDescent="0.15">
      <c r="P274" s="8"/>
    </row>
    <row r="275" spans="16:16" ht="12.75" customHeight="1" x14ac:dyDescent="0.15">
      <c r="P275" s="8"/>
    </row>
    <row r="276" spans="16:16" ht="12.75" customHeight="1" x14ac:dyDescent="0.15">
      <c r="P276" s="8"/>
    </row>
    <row r="277" spans="16:16" ht="12.75" customHeight="1" x14ac:dyDescent="0.15">
      <c r="P277" s="8"/>
    </row>
    <row r="278" spans="16:16" ht="12.75" customHeight="1" x14ac:dyDescent="0.15">
      <c r="P278" s="8"/>
    </row>
    <row r="279" spans="16:16" ht="12.75" customHeight="1" x14ac:dyDescent="0.15">
      <c r="P279" s="8"/>
    </row>
    <row r="280" spans="16:16" ht="12.75" customHeight="1" x14ac:dyDescent="0.15">
      <c r="P280" s="8"/>
    </row>
    <row r="281" spans="16:16" ht="12.75" customHeight="1" x14ac:dyDescent="0.15">
      <c r="P281" s="8"/>
    </row>
    <row r="282" spans="16:16" ht="12.75" customHeight="1" x14ac:dyDescent="0.15">
      <c r="P282" s="8"/>
    </row>
    <row r="283" spans="16:16" ht="12.75" customHeight="1" x14ac:dyDescent="0.15">
      <c r="P283" s="8"/>
    </row>
    <row r="284" spans="16:16" ht="12.75" customHeight="1" x14ac:dyDescent="0.15">
      <c r="P284" s="8"/>
    </row>
    <row r="285" spans="16:16" ht="12.75" customHeight="1" x14ac:dyDescent="0.15">
      <c r="P285" s="8"/>
    </row>
    <row r="286" spans="16:16" ht="12.75" customHeight="1" x14ac:dyDescent="0.15">
      <c r="P286" s="8"/>
    </row>
    <row r="287" spans="16:16" ht="12.75" customHeight="1" x14ac:dyDescent="0.15">
      <c r="P287" s="8"/>
    </row>
    <row r="288" spans="16:16" ht="12.75" customHeight="1" x14ac:dyDescent="0.15">
      <c r="P288" s="8"/>
    </row>
    <row r="289" spans="16:16" ht="12.75" customHeight="1" x14ac:dyDescent="0.15">
      <c r="P289" s="8"/>
    </row>
    <row r="290" spans="16:16" ht="12.75" customHeight="1" x14ac:dyDescent="0.15">
      <c r="P290" s="8"/>
    </row>
    <row r="291" spans="16:16" ht="12.75" customHeight="1" x14ac:dyDescent="0.15">
      <c r="P291" s="8"/>
    </row>
    <row r="292" spans="16:16" ht="12.75" customHeight="1" x14ac:dyDescent="0.15">
      <c r="P292" s="8"/>
    </row>
    <row r="293" spans="16:16" ht="12.75" customHeight="1" x14ac:dyDescent="0.15">
      <c r="P293" s="8"/>
    </row>
    <row r="294" spans="16:16" ht="12.75" customHeight="1" x14ac:dyDescent="0.15">
      <c r="P294" s="8"/>
    </row>
    <row r="295" spans="16:16" ht="12.75" customHeight="1" x14ac:dyDescent="0.15">
      <c r="P295" s="8"/>
    </row>
    <row r="296" spans="16:16" ht="12.75" customHeight="1" x14ac:dyDescent="0.15">
      <c r="P296" s="8"/>
    </row>
    <row r="297" spans="16:16" ht="12.75" customHeight="1" x14ac:dyDescent="0.15">
      <c r="P297" s="8"/>
    </row>
    <row r="298" spans="16:16" ht="12.75" customHeight="1" x14ac:dyDescent="0.15">
      <c r="P298" s="8"/>
    </row>
    <row r="299" spans="16:16" ht="12.75" customHeight="1" x14ac:dyDescent="0.15">
      <c r="P299" s="8"/>
    </row>
    <row r="300" spans="16:16" ht="12.75" customHeight="1" x14ac:dyDescent="0.15">
      <c r="P300" s="8"/>
    </row>
    <row r="301" spans="16:16" ht="12.75" customHeight="1" x14ac:dyDescent="0.15">
      <c r="P301" s="8"/>
    </row>
    <row r="302" spans="16:16" ht="12.75" customHeight="1" x14ac:dyDescent="0.15">
      <c r="P302" s="8"/>
    </row>
    <row r="303" spans="16:16" ht="12.75" customHeight="1" x14ac:dyDescent="0.15">
      <c r="P303" s="8"/>
    </row>
    <row r="304" spans="16:16" ht="12.75" customHeight="1" x14ac:dyDescent="0.15">
      <c r="P304" s="8"/>
    </row>
    <row r="305" spans="16:16" ht="12.75" customHeight="1" x14ac:dyDescent="0.15">
      <c r="P305" s="8"/>
    </row>
    <row r="306" spans="16:16" ht="12.75" customHeight="1" x14ac:dyDescent="0.15">
      <c r="P306" s="8"/>
    </row>
    <row r="307" spans="16:16" ht="12.75" customHeight="1" x14ac:dyDescent="0.15">
      <c r="P307" s="8"/>
    </row>
    <row r="308" spans="16:16" ht="12.75" customHeight="1" x14ac:dyDescent="0.15">
      <c r="P308" s="8"/>
    </row>
    <row r="309" spans="16:16" ht="12.75" customHeight="1" x14ac:dyDescent="0.15">
      <c r="P309" s="8"/>
    </row>
    <row r="310" spans="16:16" ht="12.75" customHeight="1" x14ac:dyDescent="0.15">
      <c r="P310" s="8"/>
    </row>
    <row r="311" spans="16:16" ht="12.75" customHeight="1" x14ac:dyDescent="0.15">
      <c r="P311" s="8"/>
    </row>
    <row r="312" spans="16:16" ht="12.75" customHeight="1" x14ac:dyDescent="0.15">
      <c r="P312" s="8"/>
    </row>
    <row r="313" spans="16:16" ht="12.75" customHeight="1" x14ac:dyDescent="0.15">
      <c r="P313" s="8"/>
    </row>
    <row r="314" spans="16:16" ht="12.75" customHeight="1" x14ac:dyDescent="0.15">
      <c r="P314" s="8"/>
    </row>
    <row r="315" spans="16:16" ht="12.75" customHeight="1" x14ac:dyDescent="0.15">
      <c r="P315" s="8"/>
    </row>
    <row r="316" spans="16:16" ht="12.75" customHeight="1" x14ac:dyDescent="0.15">
      <c r="P316" s="8"/>
    </row>
    <row r="317" spans="16:16" ht="12.75" customHeight="1" x14ac:dyDescent="0.15">
      <c r="P317" s="8"/>
    </row>
    <row r="318" spans="16:16" ht="12.75" customHeight="1" x14ac:dyDescent="0.15">
      <c r="P318" s="8"/>
    </row>
    <row r="319" spans="16:16" ht="12.75" customHeight="1" x14ac:dyDescent="0.15">
      <c r="P319" s="8"/>
    </row>
    <row r="320" spans="16:16" ht="12.75" customHeight="1" x14ac:dyDescent="0.15">
      <c r="P320" s="8"/>
    </row>
    <row r="321" spans="16:16" ht="12.75" customHeight="1" x14ac:dyDescent="0.15">
      <c r="P321" s="8"/>
    </row>
    <row r="322" spans="16:16" ht="12.75" customHeight="1" x14ac:dyDescent="0.15">
      <c r="P322" s="8"/>
    </row>
    <row r="323" spans="16:16" ht="12.75" customHeight="1" x14ac:dyDescent="0.15">
      <c r="P323" s="8"/>
    </row>
    <row r="324" spans="16:16" ht="12.75" customHeight="1" x14ac:dyDescent="0.15">
      <c r="P324" s="8"/>
    </row>
    <row r="325" spans="16:16" ht="12.75" customHeight="1" x14ac:dyDescent="0.15">
      <c r="P325" s="8"/>
    </row>
    <row r="326" spans="16:16" ht="12.75" customHeight="1" x14ac:dyDescent="0.15">
      <c r="P326" s="8"/>
    </row>
    <row r="327" spans="16:16" ht="12.75" customHeight="1" x14ac:dyDescent="0.15">
      <c r="P327" s="8"/>
    </row>
    <row r="328" spans="16:16" ht="12.75" customHeight="1" x14ac:dyDescent="0.15">
      <c r="P328" s="8"/>
    </row>
    <row r="329" spans="16:16" ht="12.75" customHeight="1" x14ac:dyDescent="0.15">
      <c r="P329" s="8"/>
    </row>
    <row r="330" spans="16:16" ht="12.75" customHeight="1" x14ac:dyDescent="0.15">
      <c r="P330" s="8"/>
    </row>
    <row r="331" spans="16:16" ht="12.75" customHeight="1" x14ac:dyDescent="0.15">
      <c r="P331" s="8"/>
    </row>
    <row r="332" spans="16:16" ht="12.75" customHeight="1" x14ac:dyDescent="0.15">
      <c r="P332" s="8"/>
    </row>
    <row r="333" spans="16:16" ht="12.75" customHeight="1" x14ac:dyDescent="0.15">
      <c r="P333" s="8"/>
    </row>
    <row r="334" spans="16:16" ht="12.75" customHeight="1" x14ac:dyDescent="0.15">
      <c r="P334" s="8"/>
    </row>
    <row r="335" spans="16:16" ht="12.75" customHeight="1" x14ac:dyDescent="0.15">
      <c r="P335" s="8"/>
    </row>
    <row r="336" spans="16:16" ht="12.75" customHeight="1" x14ac:dyDescent="0.15">
      <c r="P336" s="8"/>
    </row>
    <row r="337" spans="16:16" ht="12.75" customHeight="1" x14ac:dyDescent="0.15">
      <c r="P337" s="8"/>
    </row>
    <row r="338" spans="16:16" ht="12.75" customHeight="1" x14ac:dyDescent="0.15">
      <c r="P338" s="8"/>
    </row>
    <row r="339" spans="16:16" ht="12.75" customHeight="1" x14ac:dyDescent="0.15">
      <c r="P339" s="8"/>
    </row>
    <row r="340" spans="16:16" ht="12.75" customHeight="1" x14ac:dyDescent="0.15">
      <c r="P340" s="8"/>
    </row>
    <row r="341" spans="16:16" ht="12.75" customHeight="1" x14ac:dyDescent="0.15">
      <c r="P341" s="8"/>
    </row>
    <row r="342" spans="16:16" ht="12.75" customHeight="1" x14ac:dyDescent="0.15">
      <c r="P342" s="8"/>
    </row>
    <row r="343" spans="16:16" ht="12.75" customHeight="1" x14ac:dyDescent="0.15">
      <c r="P343" s="8"/>
    </row>
    <row r="344" spans="16:16" ht="12.75" customHeight="1" x14ac:dyDescent="0.15">
      <c r="P344" s="8"/>
    </row>
    <row r="345" spans="16:16" ht="12.75" customHeight="1" x14ac:dyDescent="0.15">
      <c r="P345" s="8"/>
    </row>
    <row r="346" spans="16:16" ht="12.75" customHeight="1" x14ac:dyDescent="0.15">
      <c r="P346" s="8"/>
    </row>
    <row r="347" spans="16:16" ht="12.75" customHeight="1" x14ac:dyDescent="0.15">
      <c r="P347" s="8"/>
    </row>
    <row r="348" spans="16:16" ht="12.75" customHeight="1" x14ac:dyDescent="0.15">
      <c r="P348" s="8"/>
    </row>
    <row r="349" spans="16:16" ht="12.75" customHeight="1" x14ac:dyDescent="0.15">
      <c r="P349" s="8"/>
    </row>
    <row r="350" spans="16:16" ht="12.75" customHeight="1" x14ac:dyDescent="0.15">
      <c r="P350" s="8"/>
    </row>
    <row r="351" spans="16:16" ht="12.75" customHeight="1" x14ac:dyDescent="0.15">
      <c r="P351" s="8"/>
    </row>
    <row r="352" spans="16:16" ht="12.75" customHeight="1" x14ac:dyDescent="0.15">
      <c r="P352" s="8"/>
    </row>
    <row r="353" spans="16:16" ht="12.75" customHeight="1" x14ac:dyDescent="0.15">
      <c r="P353" s="8"/>
    </row>
    <row r="354" spans="16:16" ht="12.75" customHeight="1" x14ac:dyDescent="0.15">
      <c r="P354" s="8"/>
    </row>
    <row r="355" spans="16:16" ht="12.75" customHeight="1" x14ac:dyDescent="0.15">
      <c r="P355" s="8"/>
    </row>
    <row r="356" spans="16:16" ht="12.75" customHeight="1" x14ac:dyDescent="0.15">
      <c r="P356" s="8"/>
    </row>
    <row r="357" spans="16:16" ht="12.75" customHeight="1" x14ac:dyDescent="0.15">
      <c r="P357" s="8"/>
    </row>
    <row r="358" spans="16:16" ht="12.75" customHeight="1" x14ac:dyDescent="0.15">
      <c r="P358" s="8"/>
    </row>
    <row r="359" spans="16:16" ht="12.75" customHeight="1" x14ac:dyDescent="0.15">
      <c r="P359" s="8"/>
    </row>
    <row r="360" spans="16:16" ht="12.75" customHeight="1" x14ac:dyDescent="0.15">
      <c r="P360" s="8"/>
    </row>
    <row r="361" spans="16:16" ht="12.75" customHeight="1" x14ac:dyDescent="0.15">
      <c r="P361" s="8"/>
    </row>
    <row r="362" spans="16:16" ht="12.75" customHeight="1" x14ac:dyDescent="0.15">
      <c r="P362" s="8"/>
    </row>
    <row r="363" spans="16:16" ht="12.75" customHeight="1" x14ac:dyDescent="0.15">
      <c r="P363" s="8"/>
    </row>
    <row r="364" spans="16:16" ht="12.75" customHeight="1" x14ac:dyDescent="0.15">
      <c r="P364" s="8"/>
    </row>
    <row r="365" spans="16:16" ht="12.75" customHeight="1" x14ac:dyDescent="0.15">
      <c r="P365" s="8"/>
    </row>
    <row r="366" spans="16:16" ht="12.75" customHeight="1" x14ac:dyDescent="0.15">
      <c r="P366" s="8"/>
    </row>
    <row r="367" spans="16:16" ht="12.75" customHeight="1" x14ac:dyDescent="0.15">
      <c r="P367" s="8"/>
    </row>
    <row r="368" spans="16:16" ht="12.75" customHeight="1" x14ac:dyDescent="0.15">
      <c r="P368" s="8"/>
    </row>
    <row r="369" spans="16:16" ht="12.75" customHeight="1" x14ac:dyDescent="0.15">
      <c r="P369" s="8"/>
    </row>
    <row r="370" spans="16:16" ht="12.75" customHeight="1" x14ac:dyDescent="0.15">
      <c r="P370" s="8"/>
    </row>
    <row r="371" spans="16:16" ht="12.75" customHeight="1" x14ac:dyDescent="0.15">
      <c r="P371" s="8"/>
    </row>
    <row r="372" spans="16:16" ht="12.75" customHeight="1" x14ac:dyDescent="0.15">
      <c r="P372" s="8"/>
    </row>
    <row r="373" spans="16:16" ht="12.75" customHeight="1" x14ac:dyDescent="0.15">
      <c r="P373" s="8"/>
    </row>
    <row r="374" spans="16:16" ht="12.75" customHeight="1" x14ac:dyDescent="0.15">
      <c r="P374" s="8"/>
    </row>
    <row r="375" spans="16:16" ht="12.75" customHeight="1" x14ac:dyDescent="0.15">
      <c r="P375" s="8"/>
    </row>
    <row r="376" spans="16:16" ht="12.75" customHeight="1" x14ac:dyDescent="0.15">
      <c r="P376" s="8"/>
    </row>
    <row r="377" spans="16:16" ht="12.75" customHeight="1" x14ac:dyDescent="0.15">
      <c r="P377" s="8"/>
    </row>
    <row r="378" spans="16:16" ht="12.75" customHeight="1" x14ac:dyDescent="0.15">
      <c r="P378" s="8"/>
    </row>
    <row r="379" spans="16:16" ht="12.75" customHeight="1" x14ac:dyDescent="0.15">
      <c r="P379" s="8"/>
    </row>
    <row r="380" spans="16:16" ht="12.75" customHeight="1" x14ac:dyDescent="0.15">
      <c r="P380" s="8"/>
    </row>
    <row r="381" spans="16:16" ht="12.75" customHeight="1" x14ac:dyDescent="0.15">
      <c r="P381" s="8"/>
    </row>
    <row r="382" spans="16:16" ht="12.75" customHeight="1" x14ac:dyDescent="0.15">
      <c r="P382" s="8"/>
    </row>
    <row r="383" spans="16:16" ht="12.75" customHeight="1" x14ac:dyDescent="0.15">
      <c r="P383" s="8"/>
    </row>
    <row r="384" spans="16:16" ht="12.75" customHeight="1" x14ac:dyDescent="0.15">
      <c r="P384" s="8"/>
    </row>
    <row r="385" spans="16:16" ht="12.75" customHeight="1" x14ac:dyDescent="0.15">
      <c r="P385" s="8"/>
    </row>
    <row r="386" spans="16:16" ht="12.75" customHeight="1" x14ac:dyDescent="0.15">
      <c r="P386" s="8"/>
    </row>
    <row r="387" spans="16:16" ht="12.75" customHeight="1" x14ac:dyDescent="0.15">
      <c r="P387" s="8"/>
    </row>
    <row r="388" spans="16:16" ht="12.75" customHeight="1" x14ac:dyDescent="0.15">
      <c r="P388" s="8"/>
    </row>
    <row r="389" spans="16:16" ht="12.75" customHeight="1" x14ac:dyDescent="0.15">
      <c r="P389" s="8"/>
    </row>
    <row r="390" spans="16:16" ht="12.75" customHeight="1" x14ac:dyDescent="0.15">
      <c r="P390" s="8"/>
    </row>
    <row r="391" spans="16:16" ht="12.75" customHeight="1" x14ac:dyDescent="0.15">
      <c r="P391" s="8"/>
    </row>
    <row r="392" spans="16:16" ht="12.75" customHeight="1" x14ac:dyDescent="0.15">
      <c r="P392" s="8"/>
    </row>
    <row r="393" spans="16:16" ht="12.75" customHeight="1" x14ac:dyDescent="0.15">
      <c r="P393" s="8"/>
    </row>
    <row r="394" spans="16:16" ht="12.75" customHeight="1" x14ac:dyDescent="0.15">
      <c r="P394" s="8"/>
    </row>
    <row r="395" spans="16:16" ht="12.75" customHeight="1" x14ac:dyDescent="0.15">
      <c r="P395" s="8"/>
    </row>
    <row r="396" spans="16:16" ht="12.75" customHeight="1" x14ac:dyDescent="0.15">
      <c r="P396" s="8"/>
    </row>
    <row r="397" spans="16:16" ht="12.75" customHeight="1" x14ac:dyDescent="0.15">
      <c r="P397" s="8"/>
    </row>
    <row r="398" spans="16:16" ht="12.75" customHeight="1" x14ac:dyDescent="0.15">
      <c r="P398" s="8"/>
    </row>
    <row r="399" spans="16:16" ht="12.75" customHeight="1" x14ac:dyDescent="0.15">
      <c r="P399" s="8"/>
    </row>
    <row r="400" spans="16:16" ht="12.75" customHeight="1" x14ac:dyDescent="0.15">
      <c r="P400" s="8"/>
    </row>
    <row r="401" spans="16:16" ht="12.75" customHeight="1" x14ac:dyDescent="0.15">
      <c r="P401" s="8"/>
    </row>
    <row r="402" spans="16:16" ht="12.75" customHeight="1" x14ac:dyDescent="0.15">
      <c r="P402" s="8"/>
    </row>
    <row r="403" spans="16:16" ht="12.75" customHeight="1" x14ac:dyDescent="0.15">
      <c r="P403" s="8"/>
    </row>
    <row r="404" spans="16:16" ht="12.75" customHeight="1" x14ac:dyDescent="0.15">
      <c r="P404" s="8"/>
    </row>
    <row r="405" spans="16:16" ht="12.75" customHeight="1" x14ac:dyDescent="0.15">
      <c r="P405" s="8"/>
    </row>
    <row r="406" spans="16:16" ht="12.75" customHeight="1" x14ac:dyDescent="0.15">
      <c r="P406" s="8"/>
    </row>
    <row r="407" spans="16:16" ht="12.75" customHeight="1" x14ac:dyDescent="0.15">
      <c r="P407" s="8"/>
    </row>
    <row r="408" spans="16:16" ht="12.75" customHeight="1" x14ac:dyDescent="0.15">
      <c r="P408" s="8"/>
    </row>
    <row r="409" spans="16:16" ht="12.75" customHeight="1" x14ac:dyDescent="0.15">
      <c r="P409" s="8"/>
    </row>
    <row r="410" spans="16:16" ht="12.75" customHeight="1" x14ac:dyDescent="0.15">
      <c r="P410" s="8"/>
    </row>
    <row r="411" spans="16:16" ht="12.75" customHeight="1" x14ac:dyDescent="0.15">
      <c r="P411" s="8"/>
    </row>
    <row r="412" spans="16:16" ht="12.75" customHeight="1" x14ac:dyDescent="0.15">
      <c r="P412" s="8"/>
    </row>
    <row r="413" spans="16:16" ht="12.75" customHeight="1" x14ac:dyDescent="0.15">
      <c r="P413" s="8"/>
    </row>
    <row r="414" spans="16:16" ht="12.75" customHeight="1" x14ac:dyDescent="0.15">
      <c r="P414" s="8"/>
    </row>
    <row r="415" spans="16:16" ht="12.75" customHeight="1" x14ac:dyDescent="0.15">
      <c r="P415" s="8"/>
    </row>
    <row r="416" spans="16:16" ht="12.75" customHeight="1" x14ac:dyDescent="0.15">
      <c r="P416" s="8"/>
    </row>
    <row r="417" spans="16:16" ht="12.75" customHeight="1" x14ac:dyDescent="0.15">
      <c r="P417" s="8"/>
    </row>
    <row r="418" spans="16:16" ht="12.75" customHeight="1" x14ac:dyDescent="0.15">
      <c r="P418" s="8"/>
    </row>
    <row r="419" spans="16:16" ht="12.75" customHeight="1" x14ac:dyDescent="0.15">
      <c r="P419" s="8"/>
    </row>
    <row r="420" spans="16:16" ht="12.75" customHeight="1" x14ac:dyDescent="0.15">
      <c r="P420" s="8"/>
    </row>
    <row r="421" spans="16:16" ht="12.75" customHeight="1" x14ac:dyDescent="0.15">
      <c r="P421" s="8"/>
    </row>
    <row r="422" spans="16:16" ht="12.75" customHeight="1" x14ac:dyDescent="0.15">
      <c r="P422" s="8"/>
    </row>
    <row r="423" spans="16:16" ht="12.75" customHeight="1" x14ac:dyDescent="0.15">
      <c r="P423" s="8"/>
    </row>
    <row r="424" spans="16:16" ht="12.75" customHeight="1" x14ac:dyDescent="0.15">
      <c r="P424" s="8"/>
    </row>
    <row r="425" spans="16:16" ht="12.75" customHeight="1" x14ac:dyDescent="0.15">
      <c r="P425" s="8"/>
    </row>
    <row r="426" spans="16:16" ht="12.75" customHeight="1" x14ac:dyDescent="0.15">
      <c r="P426" s="8"/>
    </row>
    <row r="427" spans="16:16" ht="12.75" customHeight="1" x14ac:dyDescent="0.15">
      <c r="P427" s="8"/>
    </row>
    <row r="428" spans="16:16" ht="12.75" customHeight="1" x14ac:dyDescent="0.15">
      <c r="P428" s="8"/>
    </row>
    <row r="429" spans="16:16" ht="12.75" customHeight="1" x14ac:dyDescent="0.15">
      <c r="P429" s="8"/>
    </row>
    <row r="430" spans="16:16" ht="12.75" customHeight="1" x14ac:dyDescent="0.15">
      <c r="P430" s="8"/>
    </row>
    <row r="431" spans="16:16" ht="12.75" customHeight="1" x14ac:dyDescent="0.15">
      <c r="P431" s="8"/>
    </row>
    <row r="432" spans="16:16" ht="12.75" customHeight="1" x14ac:dyDescent="0.15">
      <c r="P432" s="8"/>
    </row>
    <row r="433" spans="16:16" ht="12.75" customHeight="1" x14ac:dyDescent="0.15">
      <c r="P433" s="8"/>
    </row>
    <row r="434" spans="16:16" ht="12.75" customHeight="1" x14ac:dyDescent="0.15">
      <c r="P434" s="8"/>
    </row>
    <row r="435" spans="16:16" ht="12.75" customHeight="1" x14ac:dyDescent="0.15">
      <c r="P435" s="8"/>
    </row>
    <row r="436" spans="16:16" ht="12.75" customHeight="1" x14ac:dyDescent="0.15">
      <c r="P436" s="8"/>
    </row>
    <row r="437" spans="16:16" ht="12.75" customHeight="1" x14ac:dyDescent="0.15">
      <c r="P437" s="8"/>
    </row>
    <row r="438" spans="16:16" ht="12.75" customHeight="1" x14ac:dyDescent="0.15">
      <c r="P438" s="8"/>
    </row>
    <row r="439" spans="16:16" ht="12.75" customHeight="1" x14ac:dyDescent="0.15">
      <c r="P439" s="8"/>
    </row>
    <row r="440" spans="16:16" ht="12.75" customHeight="1" x14ac:dyDescent="0.15">
      <c r="P440" s="8"/>
    </row>
    <row r="441" spans="16:16" ht="12.75" customHeight="1" x14ac:dyDescent="0.15">
      <c r="P441" s="8"/>
    </row>
    <row r="442" spans="16:16" ht="12.75" customHeight="1" x14ac:dyDescent="0.15">
      <c r="P442" s="8"/>
    </row>
    <row r="443" spans="16:16" ht="12.75" customHeight="1" x14ac:dyDescent="0.15">
      <c r="P443" s="8"/>
    </row>
    <row r="444" spans="16:16" ht="12.75" customHeight="1" x14ac:dyDescent="0.15">
      <c r="P444" s="8"/>
    </row>
    <row r="445" spans="16:16" ht="12.75" customHeight="1" x14ac:dyDescent="0.15">
      <c r="P445" s="8"/>
    </row>
    <row r="446" spans="16:16" ht="12.75" customHeight="1" x14ac:dyDescent="0.15">
      <c r="P446" s="8"/>
    </row>
    <row r="447" spans="16:16" ht="12.75" customHeight="1" x14ac:dyDescent="0.15">
      <c r="P447" s="8"/>
    </row>
    <row r="448" spans="16:16" ht="12.75" customHeight="1" x14ac:dyDescent="0.15">
      <c r="P448" s="8"/>
    </row>
    <row r="449" spans="16:16" ht="12.75" customHeight="1" x14ac:dyDescent="0.15">
      <c r="P449" s="8"/>
    </row>
    <row r="450" spans="16:16" ht="12.75" customHeight="1" x14ac:dyDescent="0.15">
      <c r="P450" s="8"/>
    </row>
    <row r="451" spans="16:16" ht="12.75" customHeight="1" x14ac:dyDescent="0.15">
      <c r="P451" s="8"/>
    </row>
    <row r="452" spans="16:16" ht="12.75" customHeight="1" x14ac:dyDescent="0.15">
      <c r="P452" s="8"/>
    </row>
    <row r="453" spans="16:16" ht="12.75" customHeight="1" x14ac:dyDescent="0.15">
      <c r="P453" s="8"/>
    </row>
    <row r="454" spans="16:16" ht="12.75" customHeight="1" x14ac:dyDescent="0.15">
      <c r="P454" s="8"/>
    </row>
    <row r="455" spans="16:16" ht="12.75" customHeight="1" x14ac:dyDescent="0.15">
      <c r="P455" s="8"/>
    </row>
    <row r="456" spans="16:16" ht="12.75" customHeight="1" x14ac:dyDescent="0.15">
      <c r="P456" s="8"/>
    </row>
    <row r="457" spans="16:16" ht="12.75" customHeight="1" x14ac:dyDescent="0.15">
      <c r="P457" s="8"/>
    </row>
    <row r="458" spans="16:16" ht="12.75" customHeight="1" x14ac:dyDescent="0.15">
      <c r="P458" s="8"/>
    </row>
    <row r="459" spans="16:16" ht="12.75" customHeight="1" x14ac:dyDescent="0.15">
      <c r="P459" s="8"/>
    </row>
    <row r="460" spans="16:16" ht="12.75" customHeight="1" x14ac:dyDescent="0.15">
      <c r="P460" s="8"/>
    </row>
    <row r="461" spans="16:16" ht="12.75" customHeight="1" x14ac:dyDescent="0.15">
      <c r="P461" s="8"/>
    </row>
    <row r="462" spans="16:16" ht="12.75" customHeight="1" x14ac:dyDescent="0.15">
      <c r="P462" s="8"/>
    </row>
    <row r="463" spans="16:16" ht="12.75" customHeight="1" x14ac:dyDescent="0.15">
      <c r="P463" s="8"/>
    </row>
    <row r="464" spans="16:16" ht="12.75" customHeight="1" x14ac:dyDescent="0.15">
      <c r="P464" s="8"/>
    </row>
    <row r="465" spans="16:16" ht="12.75" customHeight="1" x14ac:dyDescent="0.15">
      <c r="P465" s="8"/>
    </row>
    <row r="466" spans="16:16" ht="12.75" customHeight="1" x14ac:dyDescent="0.15">
      <c r="P466" s="8"/>
    </row>
    <row r="467" spans="16:16" ht="12.75" customHeight="1" x14ac:dyDescent="0.15">
      <c r="P467" s="8"/>
    </row>
    <row r="468" spans="16:16" ht="12.75" customHeight="1" x14ac:dyDescent="0.15">
      <c r="P468" s="8"/>
    </row>
    <row r="469" spans="16:16" ht="12.75" customHeight="1" x14ac:dyDescent="0.15">
      <c r="P469" s="8"/>
    </row>
    <row r="470" spans="16:16" ht="12.75" customHeight="1" x14ac:dyDescent="0.15">
      <c r="P470" s="8"/>
    </row>
    <row r="471" spans="16:16" ht="12.75" customHeight="1" x14ac:dyDescent="0.15">
      <c r="P471" s="8"/>
    </row>
    <row r="472" spans="16:16" ht="12.75" customHeight="1" x14ac:dyDescent="0.15">
      <c r="P472" s="8"/>
    </row>
    <row r="473" spans="16:16" ht="12.75" customHeight="1" x14ac:dyDescent="0.15">
      <c r="P473" s="8"/>
    </row>
    <row r="474" spans="16:16" ht="12.75" customHeight="1" x14ac:dyDescent="0.15">
      <c r="P474" s="8"/>
    </row>
    <row r="475" spans="16:16" ht="12.75" customHeight="1" x14ac:dyDescent="0.15">
      <c r="P475" s="8"/>
    </row>
    <row r="476" spans="16:16" ht="12.75" customHeight="1" x14ac:dyDescent="0.15">
      <c r="P476" s="8"/>
    </row>
    <row r="477" spans="16:16" ht="12.75" customHeight="1" x14ac:dyDescent="0.15">
      <c r="P477" s="8"/>
    </row>
    <row r="478" spans="16:16" ht="12.75" customHeight="1" x14ac:dyDescent="0.15">
      <c r="P478" s="8"/>
    </row>
    <row r="479" spans="16:16" ht="12.75" customHeight="1" x14ac:dyDescent="0.15">
      <c r="P479" s="8"/>
    </row>
    <row r="480" spans="16:16" ht="12.75" customHeight="1" x14ac:dyDescent="0.15">
      <c r="P480" s="8"/>
    </row>
    <row r="481" spans="16:16" ht="12.75" customHeight="1" x14ac:dyDescent="0.15">
      <c r="P481" s="8"/>
    </row>
    <row r="482" spans="16:16" ht="12.75" customHeight="1" x14ac:dyDescent="0.15">
      <c r="P482" s="8"/>
    </row>
    <row r="483" spans="16:16" ht="12.75" customHeight="1" x14ac:dyDescent="0.15">
      <c r="P483" s="8"/>
    </row>
    <row r="484" spans="16:16" ht="12.75" customHeight="1" x14ac:dyDescent="0.15">
      <c r="P484" s="8"/>
    </row>
    <row r="485" spans="16:16" ht="12.75" customHeight="1" x14ac:dyDescent="0.15">
      <c r="P485" s="8"/>
    </row>
    <row r="486" spans="16:16" ht="12.75" customHeight="1" x14ac:dyDescent="0.15">
      <c r="P486" s="8"/>
    </row>
    <row r="487" spans="16:16" ht="12.75" customHeight="1" x14ac:dyDescent="0.15">
      <c r="P487" s="8"/>
    </row>
    <row r="488" spans="16:16" ht="12.75" customHeight="1" x14ac:dyDescent="0.15">
      <c r="P488" s="8"/>
    </row>
    <row r="489" spans="16:16" ht="12.75" customHeight="1" x14ac:dyDescent="0.15">
      <c r="P489" s="8"/>
    </row>
    <row r="490" spans="16:16" ht="12.75" customHeight="1" x14ac:dyDescent="0.15">
      <c r="P490" s="8"/>
    </row>
    <row r="491" spans="16:16" ht="12.75" customHeight="1" x14ac:dyDescent="0.15">
      <c r="P491" s="8"/>
    </row>
    <row r="492" spans="16:16" ht="12.75" customHeight="1" x14ac:dyDescent="0.15">
      <c r="P492" s="8"/>
    </row>
    <row r="493" spans="16:16" ht="12.75" customHeight="1" x14ac:dyDescent="0.15">
      <c r="P493" s="8"/>
    </row>
    <row r="494" spans="16:16" ht="12.75" customHeight="1" x14ac:dyDescent="0.15">
      <c r="P494" s="8"/>
    </row>
    <row r="495" spans="16:16" ht="12.75" customHeight="1" x14ac:dyDescent="0.15">
      <c r="P495" s="8"/>
    </row>
    <row r="496" spans="16:16" ht="12.75" customHeight="1" x14ac:dyDescent="0.15">
      <c r="P496" s="8"/>
    </row>
    <row r="497" spans="16:16" ht="12.75" customHeight="1" x14ac:dyDescent="0.15">
      <c r="P497" s="8"/>
    </row>
    <row r="498" spans="16:16" ht="12.75" customHeight="1" x14ac:dyDescent="0.15">
      <c r="P498" s="8"/>
    </row>
    <row r="499" spans="16:16" ht="12.75" customHeight="1" x14ac:dyDescent="0.15">
      <c r="P499" s="8"/>
    </row>
    <row r="500" spans="16:16" ht="12.75" customHeight="1" x14ac:dyDescent="0.15">
      <c r="P500" s="8"/>
    </row>
    <row r="501" spans="16:16" ht="12.75" customHeight="1" x14ac:dyDescent="0.15">
      <c r="P501" s="8"/>
    </row>
    <row r="502" spans="16:16" ht="12.75" customHeight="1" x14ac:dyDescent="0.15">
      <c r="P502" s="8"/>
    </row>
    <row r="503" spans="16:16" ht="12.75" customHeight="1" x14ac:dyDescent="0.15">
      <c r="P503" s="8"/>
    </row>
    <row r="504" spans="16:16" ht="12.75" customHeight="1" x14ac:dyDescent="0.15">
      <c r="P504" s="8"/>
    </row>
    <row r="505" spans="16:16" ht="12.75" customHeight="1" x14ac:dyDescent="0.15">
      <c r="P505" s="8"/>
    </row>
    <row r="506" spans="16:16" ht="12.75" customHeight="1" x14ac:dyDescent="0.15">
      <c r="P506" s="8"/>
    </row>
    <row r="507" spans="16:16" ht="12.75" customHeight="1" x14ac:dyDescent="0.15">
      <c r="P507" s="8"/>
    </row>
    <row r="508" spans="16:16" ht="12.75" customHeight="1" x14ac:dyDescent="0.15">
      <c r="P508" s="8"/>
    </row>
    <row r="509" spans="16:16" ht="12.75" customHeight="1" x14ac:dyDescent="0.15">
      <c r="P509" s="8"/>
    </row>
    <row r="510" spans="16:16" ht="12.75" customHeight="1" x14ac:dyDescent="0.15">
      <c r="P510" s="8"/>
    </row>
    <row r="511" spans="16:16" ht="12.75" customHeight="1" x14ac:dyDescent="0.15">
      <c r="P511" s="8"/>
    </row>
    <row r="512" spans="16:16" ht="12.75" customHeight="1" x14ac:dyDescent="0.15">
      <c r="P512" s="8"/>
    </row>
    <row r="513" spans="16:16" ht="12.75" customHeight="1" x14ac:dyDescent="0.15">
      <c r="P513" s="8"/>
    </row>
    <row r="514" spans="16:16" ht="12.75" customHeight="1" x14ac:dyDescent="0.15">
      <c r="P514" s="8"/>
    </row>
    <row r="515" spans="16:16" ht="12.75" customHeight="1" x14ac:dyDescent="0.15">
      <c r="P515" s="8"/>
    </row>
    <row r="516" spans="16:16" ht="12.75" customHeight="1" x14ac:dyDescent="0.15">
      <c r="P516" s="8"/>
    </row>
    <row r="517" spans="16:16" ht="12.75" customHeight="1" x14ac:dyDescent="0.15">
      <c r="P517" s="8"/>
    </row>
    <row r="518" spans="16:16" ht="12.75" customHeight="1" x14ac:dyDescent="0.15">
      <c r="P518" s="8"/>
    </row>
    <row r="519" spans="16:16" ht="12.75" customHeight="1" x14ac:dyDescent="0.15">
      <c r="P519" s="8"/>
    </row>
    <row r="520" spans="16:16" ht="12.75" customHeight="1" x14ac:dyDescent="0.15">
      <c r="P520" s="8"/>
    </row>
    <row r="521" spans="16:16" ht="12.75" customHeight="1" x14ac:dyDescent="0.15">
      <c r="P521" s="8"/>
    </row>
    <row r="522" spans="16:16" ht="12.75" customHeight="1" x14ac:dyDescent="0.15">
      <c r="P522" s="8"/>
    </row>
    <row r="523" spans="16:16" ht="12.75" customHeight="1" x14ac:dyDescent="0.15">
      <c r="P523" s="8"/>
    </row>
    <row r="524" spans="16:16" ht="12.75" customHeight="1" x14ac:dyDescent="0.15">
      <c r="P524" s="8"/>
    </row>
    <row r="525" spans="16:16" ht="12.75" customHeight="1" x14ac:dyDescent="0.15">
      <c r="P525" s="8"/>
    </row>
    <row r="526" spans="16:16" ht="12.75" customHeight="1" x14ac:dyDescent="0.15">
      <c r="P526" s="8"/>
    </row>
    <row r="527" spans="16:16" ht="12.75" customHeight="1" x14ac:dyDescent="0.15">
      <c r="P527" s="8"/>
    </row>
    <row r="528" spans="16:16" ht="12.75" customHeight="1" x14ac:dyDescent="0.15">
      <c r="P528" s="8"/>
    </row>
    <row r="529" spans="16:16" ht="12.75" customHeight="1" x14ac:dyDescent="0.15">
      <c r="P529" s="8"/>
    </row>
    <row r="530" spans="16:16" ht="12.75" customHeight="1" x14ac:dyDescent="0.15">
      <c r="P530" s="8"/>
    </row>
    <row r="531" spans="16:16" ht="12.75" customHeight="1" x14ac:dyDescent="0.15">
      <c r="P531" s="8"/>
    </row>
    <row r="532" spans="16:16" ht="12.75" customHeight="1" x14ac:dyDescent="0.15">
      <c r="P532" s="8"/>
    </row>
    <row r="533" spans="16:16" ht="12.75" customHeight="1" x14ac:dyDescent="0.15">
      <c r="P533" s="8"/>
    </row>
    <row r="534" spans="16:16" ht="12.75" customHeight="1" x14ac:dyDescent="0.15">
      <c r="P534" s="8"/>
    </row>
    <row r="535" spans="16:16" ht="12.75" customHeight="1" x14ac:dyDescent="0.15">
      <c r="P535" s="8"/>
    </row>
    <row r="536" spans="16:16" ht="12.75" customHeight="1" x14ac:dyDescent="0.15">
      <c r="P536" s="8"/>
    </row>
    <row r="537" spans="16:16" ht="12.75" customHeight="1" x14ac:dyDescent="0.15">
      <c r="P537" s="8"/>
    </row>
    <row r="538" spans="16:16" ht="12.75" customHeight="1" x14ac:dyDescent="0.15">
      <c r="P538" s="8"/>
    </row>
    <row r="539" spans="16:16" ht="12.75" customHeight="1" x14ac:dyDescent="0.15">
      <c r="P539" s="8"/>
    </row>
    <row r="540" spans="16:16" ht="12.75" customHeight="1" x14ac:dyDescent="0.15">
      <c r="P540" s="8"/>
    </row>
    <row r="541" spans="16:16" ht="12.75" customHeight="1" x14ac:dyDescent="0.15">
      <c r="P541" s="8"/>
    </row>
    <row r="542" spans="16:16" ht="12.75" customHeight="1" x14ac:dyDescent="0.15">
      <c r="P542" s="8"/>
    </row>
    <row r="543" spans="16:16" ht="12.75" customHeight="1" x14ac:dyDescent="0.15">
      <c r="P543" s="8"/>
    </row>
    <row r="544" spans="16:16" ht="12.75" customHeight="1" x14ac:dyDescent="0.15">
      <c r="P544" s="8"/>
    </row>
    <row r="545" spans="16:16" ht="12.75" customHeight="1" x14ac:dyDescent="0.15">
      <c r="P545" s="8"/>
    </row>
    <row r="546" spans="16:16" ht="12.75" customHeight="1" x14ac:dyDescent="0.15">
      <c r="P546" s="8"/>
    </row>
    <row r="547" spans="16:16" ht="12.75" customHeight="1" x14ac:dyDescent="0.15">
      <c r="P547" s="8"/>
    </row>
    <row r="548" spans="16:16" ht="12.75" customHeight="1" x14ac:dyDescent="0.15">
      <c r="P548" s="8"/>
    </row>
    <row r="549" spans="16:16" ht="12.75" customHeight="1" x14ac:dyDescent="0.15">
      <c r="P549" s="8"/>
    </row>
    <row r="550" spans="16:16" ht="12.75" customHeight="1" x14ac:dyDescent="0.15">
      <c r="P550" s="8"/>
    </row>
    <row r="551" spans="16:16" ht="12.75" customHeight="1" x14ac:dyDescent="0.15">
      <c r="P551" s="8"/>
    </row>
    <row r="552" spans="16:16" ht="12.75" customHeight="1" x14ac:dyDescent="0.15">
      <c r="P552" s="8"/>
    </row>
    <row r="553" spans="16:16" ht="12.75" customHeight="1" x14ac:dyDescent="0.15">
      <c r="P553" s="8"/>
    </row>
    <row r="554" spans="16:16" ht="12.75" customHeight="1" x14ac:dyDescent="0.15">
      <c r="P554" s="8"/>
    </row>
    <row r="555" spans="16:16" ht="12.75" customHeight="1" x14ac:dyDescent="0.15">
      <c r="P555" s="8"/>
    </row>
    <row r="556" spans="16:16" ht="12.75" customHeight="1" x14ac:dyDescent="0.15">
      <c r="P556" s="8"/>
    </row>
    <row r="557" spans="16:16" ht="12.75" customHeight="1" x14ac:dyDescent="0.15">
      <c r="P557" s="8"/>
    </row>
    <row r="558" spans="16:16" ht="12.75" customHeight="1" x14ac:dyDescent="0.15">
      <c r="P558" s="8"/>
    </row>
    <row r="559" spans="16:16" ht="12.75" customHeight="1" x14ac:dyDescent="0.15">
      <c r="P559" s="8"/>
    </row>
    <row r="560" spans="16:16" ht="12.75" customHeight="1" x14ac:dyDescent="0.15">
      <c r="P560" s="8"/>
    </row>
    <row r="561" spans="16:16" ht="12.75" customHeight="1" x14ac:dyDescent="0.15">
      <c r="P561" s="8"/>
    </row>
    <row r="562" spans="16:16" ht="12.75" customHeight="1" x14ac:dyDescent="0.15">
      <c r="P562" s="8"/>
    </row>
    <row r="563" spans="16:16" ht="12.75" customHeight="1" x14ac:dyDescent="0.15">
      <c r="P563" s="8"/>
    </row>
    <row r="564" spans="16:16" ht="12.75" customHeight="1" x14ac:dyDescent="0.15">
      <c r="P564" s="8"/>
    </row>
    <row r="565" spans="16:16" ht="12.75" customHeight="1" x14ac:dyDescent="0.15">
      <c r="P565" s="8"/>
    </row>
    <row r="566" spans="16:16" ht="12.75" customHeight="1" x14ac:dyDescent="0.15">
      <c r="P566" s="8"/>
    </row>
    <row r="567" spans="16:16" ht="12.75" customHeight="1" x14ac:dyDescent="0.15">
      <c r="P567" s="8"/>
    </row>
    <row r="568" spans="16:16" ht="12.75" customHeight="1" x14ac:dyDescent="0.15">
      <c r="P568" s="8"/>
    </row>
    <row r="569" spans="16:16" ht="12.75" customHeight="1" x14ac:dyDescent="0.15">
      <c r="P569" s="8"/>
    </row>
    <row r="570" spans="16:16" ht="12.75" customHeight="1" x14ac:dyDescent="0.15">
      <c r="P570" s="8"/>
    </row>
    <row r="571" spans="16:16" ht="12.75" customHeight="1" x14ac:dyDescent="0.15">
      <c r="P571" s="8"/>
    </row>
    <row r="572" spans="16:16" ht="12.75" customHeight="1" x14ac:dyDescent="0.15">
      <c r="P572" s="8"/>
    </row>
    <row r="573" spans="16:16" ht="12.75" customHeight="1" x14ac:dyDescent="0.15">
      <c r="P573" s="8"/>
    </row>
    <row r="574" spans="16:16" ht="12.75" customHeight="1" x14ac:dyDescent="0.15">
      <c r="P574" s="8"/>
    </row>
    <row r="575" spans="16:16" ht="12.75" customHeight="1" x14ac:dyDescent="0.15">
      <c r="P575" s="8"/>
    </row>
    <row r="576" spans="16:16" ht="12.75" customHeight="1" x14ac:dyDescent="0.15">
      <c r="P576" s="8"/>
    </row>
    <row r="577" spans="16:16" ht="12.75" customHeight="1" x14ac:dyDescent="0.15">
      <c r="P577" s="8"/>
    </row>
    <row r="578" spans="16:16" ht="12.75" customHeight="1" x14ac:dyDescent="0.15">
      <c r="P578" s="8"/>
    </row>
    <row r="579" spans="16:16" ht="12.75" customHeight="1" x14ac:dyDescent="0.15">
      <c r="P579" s="8"/>
    </row>
    <row r="580" spans="16:16" ht="12.75" customHeight="1" x14ac:dyDescent="0.15">
      <c r="P580" s="8"/>
    </row>
    <row r="581" spans="16:16" ht="12.75" customHeight="1" x14ac:dyDescent="0.15">
      <c r="P581" s="8"/>
    </row>
    <row r="582" spans="16:16" ht="12.75" customHeight="1" x14ac:dyDescent="0.15">
      <c r="P582" s="8"/>
    </row>
    <row r="583" spans="16:16" ht="12.75" customHeight="1" x14ac:dyDescent="0.15">
      <c r="P583" s="8"/>
    </row>
    <row r="584" spans="16:16" ht="12.75" customHeight="1" x14ac:dyDescent="0.15">
      <c r="P584" s="8"/>
    </row>
    <row r="585" spans="16:16" ht="12.75" customHeight="1" x14ac:dyDescent="0.15">
      <c r="P585" s="8"/>
    </row>
    <row r="586" spans="16:16" ht="12.75" customHeight="1" x14ac:dyDescent="0.15">
      <c r="P586" s="8"/>
    </row>
    <row r="587" spans="16:16" ht="12.75" customHeight="1" x14ac:dyDescent="0.15">
      <c r="P587" s="8"/>
    </row>
    <row r="588" spans="16:16" ht="12.75" customHeight="1" x14ac:dyDescent="0.15">
      <c r="P588" s="8"/>
    </row>
    <row r="589" spans="16:16" ht="12.75" customHeight="1" x14ac:dyDescent="0.15">
      <c r="P589" s="8"/>
    </row>
    <row r="590" spans="16:16" ht="12.75" customHeight="1" x14ac:dyDescent="0.15">
      <c r="P590" s="8"/>
    </row>
    <row r="591" spans="16:16" ht="12.75" customHeight="1" x14ac:dyDescent="0.15">
      <c r="P591" s="8"/>
    </row>
    <row r="592" spans="16:16" ht="12.75" customHeight="1" x14ac:dyDescent="0.15">
      <c r="P592" s="8"/>
    </row>
    <row r="593" spans="16:16" ht="12.75" customHeight="1" x14ac:dyDescent="0.15">
      <c r="P593" s="8"/>
    </row>
    <row r="594" spans="16:16" ht="12.75" customHeight="1" x14ac:dyDescent="0.15">
      <c r="P594" s="8"/>
    </row>
    <row r="595" spans="16:16" ht="12.75" customHeight="1" x14ac:dyDescent="0.15">
      <c r="P595" s="8"/>
    </row>
    <row r="596" spans="16:16" ht="12.75" customHeight="1" x14ac:dyDescent="0.15">
      <c r="P596" s="8"/>
    </row>
    <row r="597" spans="16:16" ht="12.75" customHeight="1" x14ac:dyDescent="0.15">
      <c r="P597" s="8"/>
    </row>
    <row r="598" spans="16:16" ht="12.75" customHeight="1" x14ac:dyDescent="0.15">
      <c r="P598" s="8"/>
    </row>
    <row r="599" spans="16:16" ht="12.75" customHeight="1" x14ac:dyDescent="0.15">
      <c r="P599" s="8"/>
    </row>
    <row r="600" spans="16:16" ht="12.75" customHeight="1" x14ac:dyDescent="0.15">
      <c r="P600" s="8"/>
    </row>
    <row r="601" spans="16:16" ht="12.75" customHeight="1" x14ac:dyDescent="0.15">
      <c r="P601" s="8"/>
    </row>
    <row r="602" spans="16:16" ht="12.75" customHeight="1" x14ac:dyDescent="0.15">
      <c r="P602" s="8"/>
    </row>
    <row r="603" spans="16:16" ht="12.75" customHeight="1" x14ac:dyDescent="0.15">
      <c r="P603" s="8"/>
    </row>
    <row r="604" spans="16:16" ht="12.75" customHeight="1" x14ac:dyDescent="0.15">
      <c r="P604" s="8"/>
    </row>
    <row r="605" spans="16:16" ht="12.75" customHeight="1" x14ac:dyDescent="0.15">
      <c r="P605" s="8"/>
    </row>
    <row r="606" spans="16:16" ht="12.75" customHeight="1" x14ac:dyDescent="0.15">
      <c r="P606" s="8"/>
    </row>
    <row r="607" spans="16:16" ht="12.75" customHeight="1" x14ac:dyDescent="0.15">
      <c r="P607" s="8"/>
    </row>
    <row r="608" spans="16:16" ht="12.75" customHeight="1" x14ac:dyDescent="0.15">
      <c r="P608" s="8"/>
    </row>
    <row r="609" spans="16:16" ht="12.75" customHeight="1" x14ac:dyDescent="0.15">
      <c r="P609" s="8"/>
    </row>
    <row r="610" spans="16:16" ht="12.75" customHeight="1" x14ac:dyDescent="0.15">
      <c r="P610" s="8"/>
    </row>
    <row r="611" spans="16:16" ht="12.75" customHeight="1" x14ac:dyDescent="0.15">
      <c r="P611" s="8"/>
    </row>
    <row r="612" spans="16:16" ht="12.75" customHeight="1" x14ac:dyDescent="0.15">
      <c r="P612" s="8"/>
    </row>
    <row r="613" spans="16:16" ht="12.75" customHeight="1" x14ac:dyDescent="0.15">
      <c r="P613" s="8"/>
    </row>
    <row r="614" spans="16:16" ht="12.75" customHeight="1" x14ac:dyDescent="0.15">
      <c r="P614" s="8"/>
    </row>
    <row r="615" spans="16:16" ht="12.75" customHeight="1" x14ac:dyDescent="0.15">
      <c r="P615" s="8"/>
    </row>
    <row r="616" spans="16:16" ht="12.75" customHeight="1" x14ac:dyDescent="0.15">
      <c r="P616" s="8"/>
    </row>
    <row r="617" spans="16:16" ht="12.75" customHeight="1" x14ac:dyDescent="0.15">
      <c r="P617" s="8"/>
    </row>
    <row r="618" spans="16:16" ht="12.75" customHeight="1" x14ac:dyDescent="0.15">
      <c r="P618" s="8"/>
    </row>
    <row r="619" spans="16:16" ht="12.75" customHeight="1" x14ac:dyDescent="0.15">
      <c r="P619" s="8"/>
    </row>
    <row r="620" spans="16:16" ht="12.75" customHeight="1" x14ac:dyDescent="0.15">
      <c r="P620" s="8"/>
    </row>
    <row r="621" spans="16:16" ht="12.75" customHeight="1" x14ac:dyDescent="0.15">
      <c r="P621" s="8"/>
    </row>
    <row r="622" spans="16:16" ht="12.75" customHeight="1" x14ac:dyDescent="0.15">
      <c r="P622" s="8"/>
    </row>
    <row r="623" spans="16:16" ht="12.75" customHeight="1" x14ac:dyDescent="0.15">
      <c r="P623" s="8"/>
    </row>
    <row r="624" spans="16:16" ht="12.75" customHeight="1" x14ac:dyDescent="0.15">
      <c r="P624" s="8"/>
    </row>
    <row r="625" spans="16:16" ht="12.75" customHeight="1" x14ac:dyDescent="0.15">
      <c r="P625" s="8"/>
    </row>
    <row r="626" spans="16:16" ht="12.75" customHeight="1" x14ac:dyDescent="0.15">
      <c r="P626" s="8"/>
    </row>
    <row r="627" spans="16:16" ht="12.75" customHeight="1" x14ac:dyDescent="0.15">
      <c r="P627" s="8"/>
    </row>
    <row r="628" spans="16:16" ht="12.75" customHeight="1" x14ac:dyDescent="0.15">
      <c r="P628" s="8"/>
    </row>
    <row r="629" spans="16:16" ht="12.75" customHeight="1" x14ac:dyDescent="0.15">
      <c r="P629" s="8"/>
    </row>
    <row r="630" spans="16:16" ht="12.75" customHeight="1" x14ac:dyDescent="0.15">
      <c r="P630" s="8"/>
    </row>
    <row r="631" spans="16:16" ht="12.75" customHeight="1" x14ac:dyDescent="0.15">
      <c r="P631" s="8"/>
    </row>
    <row r="632" spans="16:16" ht="12.75" customHeight="1" x14ac:dyDescent="0.15">
      <c r="P632" s="8"/>
    </row>
    <row r="633" spans="16:16" ht="12.75" customHeight="1" x14ac:dyDescent="0.15">
      <c r="P633" s="8"/>
    </row>
    <row r="634" spans="16:16" ht="12.75" customHeight="1" x14ac:dyDescent="0.15">
      <c r="P634" s="8"/>
    </row>
    <row r="635" spans="16:16" ht="12.75" customHeight="1" x14ac:dyDescent="0.15">
      <c r="P635" s="8"/>
    </row>
    <row r="636" spans="16:16" ht="12.75" customHeight="1" x14ac:dyDescent="0.15">
      <c r="P636" s="8"/>
    </row>
    <row r="637" spans="16:16" ht="12.75" customHeight="1" x14ac:dyDescent="0.15">
      <c r="P637" s="8"/>
    </row>
    <row r="638" spans="16:16" ht="12.75" customHeight="1" x14ac:dyDescent="0.15">
      <c r="P638" s="8"/>
    </row>
    <row r="639" spans="16:16" ht="12.75" customHeight="1" x14ac:dyDescent="0.15">
      <c r="P639" s="8"/>
    </row>
    <row r="640" spans="16:16" ht="12.75" customHeight="1" x14ac:dyDescent="0.15">
      <c r="P640" s="8"/>
    </row>
    <row r="641" spans="16:16" ht="12.75" customHeight="1" x14ac:dyDescent="0.15">
      <c r="P641" s="8"/>
    </row>
    <row r="642" spans="16:16" ht="12.75" customHeight="1" x14ac:dyDescent="0.15">
      <c r="P642" s="8"/>
    </row>
    <row r="643" spans="16:16" ht="12.75" customHeight="1" x14ac:dyDescent="0.15">
      <c r="P643" s="8"/>
    </row>
    <row r="644" spans="16:16" ht="12.75" customHeight="1" x14ac:dyDescent="0.15">
      <c r="P644" s="8"/>
    </row>
    <row r="645" spans="16:16" ht="12.75" customHeight="1" x14ac:dyDescent="0.15">
      <c r="P645" s="8"/>
    </row>
    <row r="646" spans="16:16" ht="12.75" customHeight="1" x14ac:dyDescent="0.15">
      <c r="P646" s="8"/>
    </row>
    <row r="647" spans="16:16" ht="12.75" customHeight="1" x14ac:dyDescent="0.15">
      <c r="P647" s="8"/>
    </row>
    <row r="648" spans="16:16" ht="12.75" customHeight="1" x14ac:dyDescent="0.15">
      <c r="P648" s="8"/>
    </row>
    <row r="649" spans="16:16" ht="12.75" customHeight="1" x14ac:dyDescent="0.15">
      <c r="P649" s="8"/>
    </row>
    <row r="650" spans="16:16" ht="12.75" customHeight="1" x14ac:dyDescent="0.15">
      <c r="P650" s="8"/>
    </row>
    <row r="651" spans="16:16" ht="12.75" customHeight="1" x14ac:dyDescent="0.15">
      <c r="P651" s="8"/>
    </row>
    <row r="652" spans="16:16" ht="12.75" customHeight="1" x14ac:dyDescent="0.15">
      <c r="P652" s="8"/>
    </row>
    <row r="653" spans="16:16" ht="12.75" customHeight="1" x14ac:dyDescent="0.15">
      <c r="P653" s="8"/>
    </row>
    <row r="654" spans="16:16" ht="12.75" customHeight="1" x14ac:dyDescent="0.15">
      <c r="P654" s="8"/>
    </row>
    <row r="655" spans="16:16" ht="12.75" customHeight="1" x14ac:dyDescent="0.15">
      <c r="P655" s="8"/>
    </row>
    <row r="656" spans="16:16" ht="12.75" customHeight="1" x14ac:dyDescent="0.15">
      <c r="P656" s="8"/>
    </row>
    <row r="657" spans="16:16" ht="12.75" customHeight="1" x14ac:dyDescent="0.15">
      <c r="P657" s="8"/>
    </row>
    <row r="658" spans="16:16" ht="12.75" customHeight="1" x14ac:dyDescent="0.15">
      <c r="P658" s="8"/>
    </row>
    <row r="659" spans="16:16" ht="12.75" customHeight="1" x14ac:dyDescent="0.15">
      <c r="P659" s="8"/>
    </row>
    <row r="660" spans="16:16" ht="12.75" customHeight="1" x14ac:dyDescent="0.15">
      <c r="P660" s="8"/>
    </row>
    <row r="661" spans="16:16" ht="12.75" customHeight="1" x14ac:dyDescent="0.15">
      <c r="P661" s="8"/>
    </row>
    <row r="662" spans="16:16" ht="12.75" customHeight="1" x14ac:dyDescent="0.15">
      <c r="P662" s="8"/>
    </row>
    <row r="663" spans="16:16" ht="12.75" customHeight="1" x14ac:dyDescent="0.15">
      <c r="P663" s="8"/>
    </row>
    <row r="664" spans="16:16" ht="12.75" customHeight="1" x14ac:dyDescent="0.15">
      <c r="P664" s="8"/>
    </row>
    <row r="665" spans="16:16" ht="12.75" customHeight="1" x14ac:dyDescent="0.15">
      <c r="P665" s="8"/>
    </row>
    <row r="666" spans="16:16" ht="12.75" customHeight="1" x14ac:dyDescent="0.15">
      <c r="P666" s="8"/>
    </row>
    <row r="667" spans="16:16" ht="12.75" customHeight="1" x14ac:dyDescent="0.15">
      <c r="P667" s="8"/>
    </row>
    <row r="668" spans="16:16" ht="12.75" customHeight="1" x14ac:dyDescent="0.15">
      <c r="P668" s="8"/>
    </row>
    <row r="669" spans="16:16" ht="12.75" customHeight="1" x14ac:dyDescent="0.15">
      <c r="P669" s="8"/>
    </row>
    <row r="670" spans="16:16" ht="12.75" customHeight="1" x14ac:dyDescent="0.15">
      <c r="P670" s="8"/>
    </row>
    <row r="671" spans="16:16" ht="12.75" customHeight="1" x14ac:dyDescent="0.15">
      <c r="P671" s="8"/>
    </row>
    <row r="672" spans="16:16" ht="12.75" customHeight="1" x14ac:dyDescent="0.15">
      <c r="P672" s="8"/>
    </row>
    <row r="673" spans="16:16" ht="12.75" customHeight="1" x14ac:dyDescent="0.15">
      <c r="P673" s="8"/>
    </row>
    <row r="674" spans="16:16" ht="12.75" customHeight="1" x14ac:dyDescent="0.15">
      <c r="P674" s="8"/>
    </row>
    <row r="675" spans="16:16" ht="12.75" customHeight="1" x14ac:dyDescent="0.15">
      <c r="P675" s="8"/>
    </row>
    <row r="676" spans="16:16" ht="12.75" customHeight="1" x14ac:dyDescent="0.15">
      <c r="P676" s="8"/>
    </row>
    <row r="677" spans="16:16" ht="12.75" customHeight="1" x14ac:dyDescent="0.15">
      <c r="P677" s="8"/>
    </row>
    <row r="678" spans="16:16" ht="12.75" customHeight="1" x14ac:dyDescent="0.15">
      <c r="P678" s="8"/>
    </row>
    <row r="679" spans="16:16" ht="12.75" customHeight="1" x14ac:dyDescent="0.15">
      <c r="P679" s="8"/>
    </row>
    <row r="680" spans="16:16" ht="12.75" customHeight="1" x14ac:dyDescent="0.15">
      <c r="P680" s="8"/>
    </row>
    <row r="681" spans="16:16" ht="12.75" customHeight="1" x14ac:dyDescent="0.15">
      <c r="P681" s="8"/>
    </row>
    <row r="682" spans="16:16" ht="12.75" customHeight="1" x14ac:dyDescent="0.15">
      <c r="P682" s="8"/>
    </row>
    <row r="683" spans="16:16" ht="12.75" customHeight="1" x14ac:dyDescent="0.15">
      <c r="P683" s="8"/>
    </row>
    <row r="684" spans="16:16" ht="12.75" customHeight="1" x14ac:dyDescent="0.15">
      <c r="P684" s="8"/>
    </row>
    <row r="685" spans="16:16" ht="12.75" customHeight="1" x14ac:dyDescent="0.15">
      <c r="P685" s="8"/>
    </row>
    <row r="686" spans="16:16" ht="12.75" customHeight="1" x14ac:dyDescent="0.15">
      <c r="P686" s="8"/>
    </row>
    <row r="687" spans="16:16" ht="12.75" customHeight="1" x14ac:dyDescent="0.15">
      <c r="P687" s="8"/>
    </row>
    <row r="688" spans="16:16" ht="12.75" customHeight="1" x14ac:dyDescent="0.15">
      <c r="P688" s="8"/>
    </row>
    <row r="689" spans="16:16" ht="12.75" customHeight="1" x14ac:dyDescent="0.15">
      <c r="P689" s="8"/>
    </row>
    <row r="690" spans="16:16" ht="12.75" customHeight="1" x14ac:dyDescent="0.15">
      <c r="P690" s="8"/>
    </row>
    <row r="691" spans="16:16" ht="12.75" customHeight="1" x14ac:dyDescent="0.15">
      <c r="P691" s="8"/>
    </row>
    <row r="692" spans="16:16" ht="12.75" customHeight="1" x14ac:dyDescent="0.15">
      <c r="P692" s="8"/>
    </row>
    <row r="693" spans="16:16" ht="12.75" customHeight="1" x14ac:dyDescent="0.15">
      <c r="P693" s="8"/>
    </row>
    <row r="694" spans="16:16" ht="12.75" customHeight="1" x14ac:dyDescent="0.15">
      <c r="P694" s="8"/>
    </row>
    <row r="695" spans="16:16" ht="12.75" customHeight="1" x14ac:dyDescent="0.15">
      <c r="P695" s="8"/>
    </row>
    <row r="696" spans="16:16" ht="12.75" customHeight="1" x14ac:dyDescent="0.15">
      <c r="P696" s="8"/>
    </row>
    <row r="697" spans="16:16" ht="12.75" customHeight="1" x14ac:dyDescent="0.15">
      <c r="P697" s="8"/>
    </row>
    <row r="698" spans="16:16" ht="12.75" customHeight="1" x14ac:dyDescent="0.15">
      <c r="P698" s="8"/>
    </row>
    <row r="699" spans="16:16" ht="12.75" customHeight="1" x14ac:dyDescent="0.15">
      <c r="P699" s="8"/>
    </row>
    <row r="700" spans="16:16" ht="12.75" customHeight="1" x14ac:dyDescent="0.15">
      <c r="P700" s="8"/>
    </row>
    <row r="701" spans="16:16" ht="12.75" customHeight="1" x14ac:dyDescent="0.15">
      <c r="P701" s="8"/>
    </row>
    <row r="702" spans="16:16" ht="12.75" customHeight="1" x14ac:dyDescent="0.15">
      <c r="P702" s="8"/>
    </row>
    <row r="703" spans="16:16" ht="12.75" customHeight="1" x14ac:dyDescent="0.15">
      <c r="P703" s="8"/>
    </row>
    <row r="704" spans="16:16" ht="12.75" customHeight="1" x14ac:dyDescent="0.15">
      <c r="P704" s="8"/>
    </row>
    <row r="705" spans="16:16" ht="12.75" customHeight="1" x14ac:dyDescent="0.15">
      <c r="P705" s="8"/>
    </row>
    <row r="706" spans="16:16" ht="12.75" customHeight="1" x14ac:dyDescent="0.15">
      <c r="P706" s="8"/>
    </row>
    <row r="707" spans="16:16" ht="12.75" customHeight="1" x14ac:dyDescent="0.15">
      <c r="P707" s="8"/>
    </row>
    <row r="708" spans="16:16" ht="12.75" customHeight="1" x14ac:dyDescent="0.15">
      <c r="P708" s="8"/>
    </row>
    <row r="709" spans="16:16" ht="12.75" customHeight="1" x14ac:dyDescent="0.15">
      <c r="P709" s="8"/>
    </row>
    <row r="710" spans="16:16" ht="12.75" customHeight="1" x14ac:dyDescent="0.15">
      <c r="P710" s="8"/>
    </row>
    <row r="711" spans="16:16" ht="12.75" customHeight="1" x14ac:dyDescent="0.15">
      <c r="P711" s="8"/>
    </row>
    <row r="712" spans="16:16" ht="12.75" customHeight="1" x14ac:dyDescent="0.15">
      <c r="P712" s="8"/>
    </row>
    <row r="713" spans="16:16" ht="12.75" customHeight="1" x14ac:dyDescent="0.15">
      <c r="P713" s="8"/>
    </row>
    <row r="714" spans="16:16" ht="12.75" customHeight="1" x14ac:dyDescent="0.15">
      <c r="P714" s="8"/>
    </row>
    <row r="715" spans="16:16" ht="12.75" customHeight="1" x14ac:dyDescent="0.15">
      <c r="P715" s="8"/>
    </row>
    <row r="716" spans="16:16" ht="12.75" customHeight="1" x14ac:dyDescent="0.15">
      <c r="P716" s="8"/>
    </row>
    <row r="717" spans="16:16" ht="12.75" customHeight="1" x14ac:dyDescent="0.15">
      <c r="P717" s="8"/>
    </row>
    <row r="718" spans="16:16" ht="12.75" customHeight="1" x14ac:dyDescent="0.15">
      <c r="P718" s="8"/>
    </row>
    <row r="719" spans="16:16" ht="12.75" customHeight="1" x14ac:dyDescent="0.15">
      <c r="P719" s="8"/>
    </row>
    <row r="720" spans="16:16" ht="12.75" customHeight="1" x14ac:dyDescent="0.15">
      <c r="P720" s="8"/>
    </row>
    <row r="721" spans="16:16" ht="12.75" customHeight="1" x14ac:dyDescent="0.15">
      <c r="P721" s="8"/>
    </row>
    <row r="722" spans="16:16" ht="12.75" customHeight="1" x14ac:dyDescent="0.15">
      <c r="P722" s="8"/>
    </row>
    <row r="723" spans="16:16" ht="12.75" customHeight="1" x14ac:dyDescent="0.15">
      <c r="P723" s="8"/>
    </row>
    <row r="724" spans="16:16" ht="12.75" customHeight="1" x14ac:dyDescent="0.15">
      <c r="P724" s="8"/>
    </row>
    <row r="725" spans="16:16" ht="12.75" customHeight="1" x14ac:dyDescent="0.15">
      <c r="P725" s="8"/>
    </row>
    <row r="726" spans="16:16" ht="12.75" customHeight="1" x14ac:dyDescent="0.15">
      <c r="P726" s="8"/>
    </row>
    <row r="727" spans="16:16" ht="12.75" customHeight="1" x14ac:dyDescent="0.15">
      <c r="P727" s="8"/>
    </row>
    <row r="728" spans="16:16" ht="12.75" customHeight="1" x14ac:dyDescent="0.15">
      <c r="P728" s="8"/>
    </row>
    <row r="729" spans="16:16" ht="12.75" customHeight="1" x14ac:dyDescent="0.15">
      <c r="P729" s="8"/>
    </row>
    <row r="730" spans="16:16" ht="12.75" customHeight="1" x14ac:dyDescent="0.15">
      <c r="P730" s="8"/>
    </row>
    <row r="731" spans="16:16" ht="12.75" customHeight="1" x14ac:dyDescent="0.15">
      <c r="P731" s="8"/>
    </row>
    <row r="732" spans="16:16" ht="12.75" customHeight="1" x14ac:dyDescent="0.15">
      <c r="P732" s="8"/>
    </row>
    <row r="733" spans="16:16" ht="12.75" customHeight="1" x14ac:dyDescent="0.15">
      <c r="P733" s="8"/>
    </row>
    <row r="734" spans="16:16" ht="12.75" customHeight="1" x14ac:dyDescent="0.15">
      <c r="P734" s="8"/>
    </row>
    <row r="735" spans="16:16" ht="12.75" customHeight="1" x14ac:dyDescent="0.15">
      <c r="P735" s="8"/>
    </row>
    <row r="736" spans="16:16" ht="12.75" customHeight="1" x14ac:dyDescent="0.15">
      <c r="P736" s="8"/>
    </row>
    <row r="737" spans="16:16" ht="12.75" customHeight="1" x14ac:dyDescent="0.15">
      <c r="P737" s="8"/>
    </row>
    <row r="738" spans="16:16" ht="12.75" customHeight="1" x14ac:dyDescent="0.15">
      <c r="P738" s="8"/>
    </row>
    <row r="739" spans="16:16" ht="12.75" customHeight="1" x14ac:dyDescent="0.15">
      <c r="P739" s="8"/>
    </row>
    <row r="740" spans="16:16" ht="12.75" customHeight="1" x14ac:dyDescent="0.15">
      <c r="P740" s="8"/>
    </row>
    <row r="741" spans="16:16" ht="12.75" customHeight="1" x14ac:dyDescent="0.15">
      <c r="P741" s="8"/>
    </row>
    <row r="742" spans="16:16" ht="12.75" customHeight="1" x14ac:dyDescent="0.15">
      <c r="P742" s="8"/>
    </row>
    <row r="743" spans="16:16" ht="12.75" customHeight="1" x14ac:dyDescent="0.15">
      <c r="P743" s="8"/>
    </row>
    <row r="744" spans="16:16" ht="12.75" customHeight="1" x14ac:dyDescent="0.15">
      <c r="P744" s="8"/>
    </row>
    <row r="745" spans="16:16" ht="12.75" customHeight="1" x14ac:dyDescent="0.15">
      <c r="P745" s="8"/>
    </row>
    <row r="746" spans="16:16" ht="12.75" customHeight="1" x14ac:dyDescent="0.15">
      <c r="P746" s="8"/>
    </row>
    <row r="747" spans="16:16" ht="12.75" customHeight="1" x14ac:dyDescent="0.15">
      <c r="P747" s="8"/>
    </row>
    <row r="748" spans="16:16" ht="12.75" customHeight="1" x14ac:dyDescent="0.15">
      <c r="P748" s="8"/>
    </row>
    <row r="749" spans="16:16" ht="12.75" customHeight="1" x14ac:dyDescent="0.15">
      <c r="P749" s="8"/>
    </row>
    <row r="750" spans="16:16" ht="12.75" customHeight="1" x14ac:dyDescent="0.15">
      <c r="P750" s="8"/>
    </row>
    <row r="751" spans="16:16" ht="12.75" customHeight="1" x14ac:dyDescent="0.15">
      <c r="P751" s="8"/>
    </row>
    <row r="752" spans="16:16" ht="12.75" customHeight="1" x14ac:dyDescent="0.15">
      <c r="P752" s="8"/>
    </row>
    <row r="753" spans="16:16" ht="12.75" customHeight="1" x14ac:dyDescent="0.15">
      <c r="P753" s="8"/>
    </row>
    <row r="754" spans="16:16" ht="12.75" customHeight="1" x14ac:dyDescent="0.15">
      <c r="P754" s="8"/>
    </row>
    <row r="755" spans="16:16" ht="12.75" customHeight="1" x14ac:dyDescent="0.15">
      <c r="P755" s="8"/>
    </row>
    <row r="756" spans="16:16" ht="12.75" customHeight="1" x14ac:dyDescent="0.15">
      <c r="P756" s="8"/>
    </row>
    <row r="757" spans="16:16" ht="12.75" customHeight="1" x14ac:dyDescent="0.15">
      <c r="P757" s="8"/>
    </row>
    <row r="758" spans="16:16" ht="12.75" customHeight="1" x14ac:dyDescent="0.15">
      <c r="P758" s="8"/>
    </row>
    <row r="759" spans="16:16" ht="12.75" customHeight="1" x14ac:dyDescent="0.15">
      <c r="P759" s="8"/>
    </row>
    <row r="760" spans="16:16" ht="12.75" customHeight="1" x14ac:dyDescent="0.15">
      <c r="P760" s="8"/>
    </row>
    <row r="761" spans="16:16" ht="12.75" customHeight="1" x14ac:dyDescent="0.15">
      <c r="P761" s="8"/>
    </row>
    <row r="762" spans="16:16" ht="12.75" customHeight="1" x14ac:dyDescent="0.15">
      <c r="P762" s="8"/>
    </row>
    <row r="763" spans="16:16" ht="12.75" customHeight="1" x14ac:dyDescent="0.15">
      <c r="P763" s="8"/>
    </row>
    <row r="764" spans="16:16" ht="12.75" customHeight="1" x14ac:dyDescent="0.15">
      <c r="P764" s="8"/>
    </row>
    <row r="765" spans="16:16" ht="12.75" customHeight="1" x14ac:dyDescent="0.15">
      <c r="P765" s="8"/>
    </row>
    <row r="766" spans="16:16" ht="12.75" customHeight="1" x14ac:dyDescent="0.15">
      <c r="P766" s="8"/>
    </row>
    <row r="767" spans="16:16" ht="12.75" customHeight="1" x14ac:dyDescent="0.15">
      <c r="P767" s="8"/>
    </row>
    <row r="768" spans="16:16" ht="12.75" customHeight="1" x14ac:dyDescent="0.15">
      <c r="P768" s="8"/>
    </row>
    <row r="769" spans="16:16" ht="12.75" customHeight="1" x14ac:dyDescent="0.15">
      <c r="P769" s="8"/>
    </row>
    <row r="770" spans="16:16" ht="12.75" customHeight="1" x14ac:dyDescent="0.15">
      <c r="P770" s="8"/>
    </row>
    <row r="771" spans="16:16" ht="12.75" customHeight="1" x14ac:dyDescent="0.15">
      <c r="P771" s="8"/>
    </row>
    <row r="772" spans="16:16" ht="12.75" customHeight="1" x14ac:dyDescent="0.15">
      <c r="P772" s="8"/>
    </row>
    <row r="773" spans="16:16" ht="12.75" customHeight="1" x14ac:dyDescent="0.15">
      <c r="P773" s="8"/>
    </row>
    <row r="774" spans="16:16" ht="12.75" customHeight="1" x14ac:dyDescent="0.15">
      <c r="P774" s="8"/>
    </row>
    <row r="775" spans="16:16" ht="12.75" customHeight="1" x14ac:dyDescent="0.15">
      <c r="P775" s="8"/>
    </row>
    <row r="776" spans="16:16" ht="12.75" customHeight="1" x14ac:dyDescent="0.15">
      <c r="P776" s="8"/>
    </row>
    <row r="777" spans="16:16" ht="12.75" customHeight="1" x14ac:dyDescent="0.15">
      <c r="P777" s="8"/>
    </row>
    <row r="778" spans="16:16" ht="12.75" customHeight="1" x14ac:dyDescent="0.15">
      <c r="P778" s="8"/>
    </row>
    <row r="779" spans="16:16" ht="12.75" customHeight="1" x14ac:dyDescent="0.15">
      <c r="P779" s="8"/>
    </row>
    <row r="780" spans="16:16" ht="12.75" customHeight="1" x14ac:dyDescent="0.15">
      <c r="P780" s="8"/>
    </row>
    <row r="781" spans="16:16" ht="12.75" customHeight="1" x14ac:dyDescent="0.15">
      <c r="P781" s="8"/>
    </row>
    <row r="782" spans="16:16" ht="12.75" customHeight="1" x14ac:dyDescent="0.15">
      <c r="P782" s="8"/>
    </row>
    <row r="783" spans="16:16" ht="12.75" customHeight="1" x14ac:dyDescent="0.15">
      <c r="P783" s="8"/>
    </row>
    <row r="784" spans="16:16" ht="12.75" customHeight="1" x14ac:dyDescent="0.15">
      <c r="P784" s="8"/>
    </row>
    <row r="785" spans="16:16" ht="12.75" customHeight="1" x14ac:dyDescent="0.15">
      <c r="P785" s="8"/>
    </row>
    <row r="786" spans="16:16" ht="12.75" customHeight="1" x14ac:dyDescent="0.15">
      <c r="P786" s="8"/>
    </row>
    <row r="787" spans="16:16" ht="12.75" customHeight="1" x14ac:dyDescent="0.15">
      <c r="P787" s="8"/>
    </row>
    <row r="788" spans="16:16" ht="12.75" customHeight="1" x14ac:dyDescent="0.15">
      <c r="P788" s="8"/>
    </row>
    <row r="789" spans="16:16" ht="12.75" customHeight="1" x14ac:dyDescent="0.15">
      <c r="P789" s="8"/>
    </row>
    <row r="790" spans="16:16" ht="12.75" customHeight="1" x14ac:dyDescent="0.15">
      <c r="P790" s="8"/>
    </row>
    <row r="791" spans="16:16" ht="12.75" customHeight="1" x14ac:dyDescent="0.15">
      <c r="P791" s="8"/>
    </row>
    <row r="792" spans="16:16" ht="12.75" customHeight="1" x14ac:dyDescent="0.15">
      <c r="P792" s="8"/>
    </row>
    <row r="793" spans="16:16" ht="12.75" customHeight="1" x14ac:dyDescent="0.15">
      <c r="P793" s="8"/>
    </row>
    <row r="794" spans="16:16" ht="12.75" customHeight="1" x14ac:dyDescent="0.15">
      <c r="P794" s="8"/>
    </row>
    <row r="795" spans="16:16" ht="12.75" customHeight="1" x14ac:dyDescent="0.15">
      <c r="P795" s="8"/>
    </row>
    <row r="796" spans="16:16" ht="12.75" customHeight="1" x14ac:dyDescent="0.15">
      <c r="P796" s="8"/>
    </row>
    <row r="797" spans="16:16" ht="12.75" customHeight="1" x14ac:dyDescent="0.15">
      <c r="P797" s="8"/>
    </row>
    <row r="798" spans="16:16" ht="12.75" customHeight="1" x14ac:dyDescent="0.15">
      <c r="P798" s="8"/>
    </row>
    <row r="799" spans="16:16" ht="12.75" customHeight="1" x14ac:dyDescent="0.15">
      <c r="P799" s="8"/>
    </row>
    <row r="800" spans="16:16" ht="12.75" customHeight="1" x14ac:dyDescent="0.15">
      <c r="P800" s="8"/>
    </row>
    <row r="801" spans="16:16" ht="12.75" customHeight="1" x14ac:dyDescent="0.15">
      <c r="P801" s="8"/>
    </row>
    <row r="802" spans="16:16" ht="12.75" customHeight="1" x14ac:dyDescent="0.15">
      <c r="P802" s="8"/>
    </row>
    <row r="803" spans="16:16" ht="12.75" customHeight="1" x14ac:dyDescent="0.15">
      <c r="P803" s="8"/>
    </row>
    <row r="804" spans="16:16" ht="12.75" customHeight="1" x14ac:dyDescent="0.15">
      <c r="P804" s="8"/>
    </row>
    <row r="805" spans="16:16" ht="12.75" customHeight="1" x14ac:dyDescent="0.15">
      <c r="P805" s="8"/>
    </row>
    <row r="806" spans="16:16" ht="12.75" customHeight="1" x14ac:dyDescent="0.15">
      <c r="P806" s="8"/>
    </row>
    <row r="807" spans="16:16" ht="12.75" customHeight="1" x14ac:dyDescent="0.15">
      <c r="P807" s="8"/>
    </row>
    <row r="808" spans="16:16" ht="12.75" customHeight="1" x14ac:dyDescent="0.15">
      <c r="P808" s="8"/>
    </row>
    <row r="809" spans="16:16" ht="12.75" customHeight="1" x14ac:dyDescent="0.15">
      <c r="P809" s="8"/>
    </row>
    <row r="810" spans="16:16" ht="12.75" customHeight="1" x14ac:dyDescent="0.15">
      <c r="P810" s="8"/>
    </row>
    <row r="811" spans="16:16" ht="12.75" customHeight="1" x14ac:dyDescent="0.15">
      <c r="P811" s="8"/>
    </row>
    <row r="812" spans="16:16" ht="12.75" customHeight="1" x14ac:dyDescent="0.15">
      <c r="P812" s="8"/>
    </row>
    <row r="813" spans="16:16" ht="12.75" customHeight="1" x14ac:dyDescent="0.15">
      <c r="P813" s="8"/>
    </row>
    <row r="814" spans="16:16" ht="12.75" customHeight="1" x14ac:dyDescent="0.15">
      <c r="P814" s="8"/>
    </row>
    <row r="815" spans="16:16" ht="12.75" customHeight="1" x14ac:dyDescent="0.15">
      <c r="P815" s="8"/>
    </row>
    <row r="816" spans="16:16" ht="12.75" customHeight="1" x14ac:dyDescent="0.15">
      <c r="P816" s="8"/>
    </row>
    <row r="817" spans="16:16" ht="12.75" customHeight="1" x14ac:dyDescent="0.15">
      <c r="P817" s="8"/>
    </row>
    <row r="818" spans="16:16" ht="12.75" customHeight="1" x14ac:dyDescent="0.15">
      <c r="P818" s="8"/>
    </row>
    <row r="819" spans="16:16" ht="12.75" customHeight="1" x14ac:dyDescent="0.15">
      <c r="P819" s="8"/>
    </row>
    <row r="820" spans="16:16" ht="12.75" customHeight="1" x14ac:dyDescent="0.15">
      <c r="P820" s="8"/>
    </row>
    <row r="821" spans="16:16" ht="12.75" customHeight="1" x14ac:dyDescent="0.15">
      <c r="P821" s="8"/>
    </row>
    <row r="822" spans="16:16" ht="12.75" customHeight="1" x14ac:dyDescent="0.15">
      <c r="P822" s="8"/>
    </row>
    <row r="823" spans="16:16" ht="12.75" customHeight="1" x14ac:dyDescent="0.15">
      <c r="P823" s="8"/>
    </row>
    <row r="824" spans="16:16" ht="12.75" customHeight="1" x14ac:dyDescent="0.15">
      <c r="P824" s="8"/>
    </row>
    <row r="825" spans="16:16" ht="12.75" customHeight="1" x14ac:dyDescent="0.15">
      <c r="P825" s="8"/>
    </row>
    <row r="826" spans="16:16" ht="12.75" customHeight="1" x14ac:dyDescent="0.15">
      <c r="P826" s="8"/>
    </row>
    <row r="827" spans="16:16" ht="12.75" customHeight="1" x14ac:dyDescent="0.15">
      <c r="P827" s="8"/>
    </row>
    <row r="828" spans="16:16" ht="12.75" customHeight="1" x14ac:dyDescent="0.15">
      <c r="P828" s="8"/>
    </row>
    <row r="829" spans="16:16" ht="12.75" customHeight="1" x14ac:dyDescent="0.15">
      <c r="P829" s="8"/>
    </row>
    <row r="830" spans="16:16" ht="12.75" customHeight="1" x14ac:dyDescent="0.15">
      <c r="P830" s="8"/>
    </row>
    <row r="831" spans="16:16" ht="12.75" customHeight="1" x14ac:dyDescent="0.15">
      <c r="P831" s="8"/>
    </row>
    <row r="832" spans="16:16" ht="12.75" customHeight="1" x14ac:dyDescent="0.15">
      <c r="P832" s="8"/>
    </row>
    <row r="833" spans="16:16" ht="12.75" customHeight="1" x14ac:dyDescent="0.15">
      <c r="P833" s="8"/>
    </row>
    <row r="834" spans="16:16" ht="12.75" customHeight="1" x14ac:dyDescent="0.15">
      <c r="P834" s="8"/>
    </row>
    <row r="835" spans="16:16" ht="12.75" customHeight="1" x14ac:dyDescent="0.15">
      <c r="P835" s="8"/>
    </row>
    <row r="836" spans="16:16" ht="12.75" customHeight="1" x14ac:dyDescent="0.15">
      <c r="P836" s="8"/>
    </row>
    <row r="837" spans="16:16" ht="12.75" customHeight="1" x14ac:dyDescent="0.15">
      <c r="P837" s="8"/>
    </row>
    <row r="838" spans="16:16" ht="12.75" customHeight="1" x14ac:dyDescent="0.15">
      <c r="P838" s="8"/>
    </row>
    <row r="839" spans="16:16" ht="12.75" customHeight="1" x14ac:dyDescent="0.15">
      <c r="P839" s="8"/>
    </row>
    <row r="840" spans="16:16" ht="12.75" customHeight="1" x14ac:dyDescent="0.15">
      <c r="P840" s="8"/>
    </row>
    <row r="841" spans="16:16" ht="12.75" customHeight="1" x14ac:dyDescent="0.15">
      <c r="P841" s="8"/>
    </row>
    <row r="842" spans="16:16" ht="12.75" customHeight="1" x14ac:dyDescent="0.15">
      <c r="P842" s="8"/>
    </row>
    <row r="843" spans="16:16" ht="12.75" customHeight="1" x14ac:dyDescent="0.15">
      <c r="P843" s="8"/>
    </row>
    <row r="844" spans="16:16" ht="12.75" customHeight="1" x14ac:dyDescent="0.15">
      <c r="P844" s="8"/>
    </row>
    <row r="845" spans="16:16" ht="12.75" customHeight="1" x14ac:dyDescent="0.15">
      <c r="P845" s="8"/>
    </row>
    <row r="846" spans="16:16" ht="12.75" customHeight="1" x14ac:dyDescent="0.15">
      <c r="P846" s="8"/>
    </row>
    <row r="847" spans="16:16" ht="12.75" customHeight="1" x14ac:dyDescent="0.15">
      <c r="P847" s="8"/>
    </row>
    <row r="848" spans="16:16" ht="12.75" customHeight="1" x14ac:dyDescent="0.15">
      <c r="P848" s="8"/>
    </row>
    <row r="849" spans="16:16" ht="12.75" customHeight="1" x14ac:dyDescent="0.15">
      <c r="P849" s="8"/>
    </row>
    <row r="850" spans="16:16" ht="12.75" customHeight="1" x14ac:dyDescent="0.15">
      <c r="P850" s="8"/>
    </row>
    <row r="851" spans="16:16" ht="12.75" customHeight="1" x14ac:dyDescent="0.15">
      <c r="P851" s="8"/>
    </row>
    <row r="852" spans="16:16" ht="12.75" customHeight="1" x14ac:dyDescent="0.15">
      <c r="P852" s="8"/>
    </row>
    <row r="853" spans="16:16" ht="12.75" customHeight="1" x14ac:dyDescent="0.15">
      <c r="P853" s="8"/>
    </row>
    <row r="854" spans="16:16" ht="12.75" customHeight="1" x14ac:dyDescent="0.15">
      <c r="P854" s="8"/>
    </row>
    <row r="855" spans="16:16" ht="12.75" customHeight="1" x14ac:dyDescent="0.15">
      <c r="P855" s="8"/>
    </row>
    <row r="856" spans="16:16" ht="12.75" customHeight="1" x14ac:dyDescent="0.15">
      <c r="P856" s="8"/>
    </row>
    <row r="857" spans="16:16" ht="12.75" customHeight="1" x14ac:dyDescent="0.15">
      <c r="P857" s="8"/>
    </row>
    <row r="858" spans="16:16" ht="12.75" customHeight="1" x14ac:dyDescent="0.15">
      <c r="P858" s="8"/>
    </row>
    <row r="859" spans="16:16" ht="12.75" customHeight="1" x14ac:dyDescent="0.15">
      <c r="P859" s="8"/>
    </row>
    <row r="860" spans="16:16" ht="12.75" customHeight="1" x14ac:dyDescent="0.15">
      <c r="P860" s="8"/>
    </row>
    <row r="861" spans="16:16" ht="12.75" customHeight="1" x14ac:dyDescent="0.15">
      <c r="P861" s="8"/>
    </row>
    <row r="862" spans="16:16" ht="12.75" customHeight="1" x14ac:dyDescent="0.15">
      <c r="P862" s="8"/>
    </row>
    <row r="863" spans="16:16" ht="12.75" customHeight="1" x14ac:dyDescent="0.15">
      <c r="P863" s="8"/>
    </row>
    <row r="864" spans="16:16" ht="12.75" customHeight="1" x14ac:dyDescent="0.15">
      <c r="P864" s="8"/>
    </row>
    <row r="865" spans="16:16" ht="12.75" customHeight="1" x14ac:dyDescent="0.15">
      <c r="P865" s="8"/>
    </row>
    <row r="866" spans="16:16" ht="12.75" customHeight="1" x14ac:dyDescent="0.15">
      <c r="P866" s="8"/>
    </row>
    <row r="867" spans="16:16" ht="12.75" customHeight="1" x14ac:dyDescent="0.15">
      <c r="P867" s="8"/>
    </row>
    <row r="868" spans="16:16" ht="12.75" customHeight="1" x14ac:dyDescent="0.15">
      <c r="P868" s="8"/>
    </row>
    <row r="869" spans="16:16" ht="12.75" customHeight="1" x14ac:dyDescent="0.15">
      <c r="P869" s="8"/>
    </row>
    <row r="870" spans="16:16" ht="12.75" customHeight="1" x14ac:dyDescent="0.15">
      <c r="P870" s="8"/>
    </row>
    <row r="871" spans="16:16" ht="12.75" customHeight="1" x14ac:dyDescent="0.15">
      <c r="P871" s="8"/>
    </row>
    <row r="872" spans="16:16" ht="12.75" customHeight="1" x14ac:dyDescent="0.15">
      <c r="P872" s="8"/>
    </row>
    <row r="873" spans="16:16" ht="12.75" customHeight="1" x14ac:dyDescent="0.15">
      <c r="P873" s="8"/>
    </row>
    <row r="874" spans="16:16" ht="12.75" customHeight="1" x14ac:dyDescent="0.15">
      <c r="P874" s="8"/>
    </row>
    <row r="875" spans="16:16" ht="12.75" customHeight="1" x14ac:dyDescent="0.15">
      <c r="P875" s="8"/>
    </row>
    <row r="876" spans="16:16" ht="12.75" customHeight="1" x14ac:dyDescent="0.15">
      <c r="P876" s="8"/>
    </row>
    <row r="877" spans="16:16" ht="12.75" customHeight="1" x14ac:dyDescent="0.15">
      <c r="P877" s="8"/>
    </row>
    <row r="878" spans="16:16" ht="12.75" customHeight="1" x14ac:dyDescent="0.15">
      <c r="P878" s="8"/>
    </row>
    <row r="879" spans="16:16" ht="12.75" customHeight="1" x14ac:dyDescent="0.15">
      <c r="P879" s="8"/>
    </row>
    <row r="880" spans="16:16" ht="12.75" customHeight="1" x14ac:dyDescent="0.15">
      <c r="P880" s="8"/>
    </row>
    <row r="881" spans="16:16" ht="12.75" customHeight="1" x14ac:dyDescent="0.15">
      <c r="P881" s="8"/>
    </row>
    <row r="882" spans="16:16" ht="12.75" customHeight="1" x14ac:dyDescent="0.15">
      <c r="P882" s="8"/>
    </row>
    <row r="883" spans="16:16" ht="12.75" customHeight="1" x14ac:dyDescent="0.15">
      <c r="P883" s="8"/>
    </row>
    <row r="884" spans="16:16" ht="12.75" customHeight="1" x14ac:dyDescent="0.15">
      <c r="P884" s="8"/>
    </row>
    <row r="885" spans="16:16" ht="12.75" customHeight="1" x14ac:dyDescent="0.15">
      <c r="P885" s="8"/>
    </row>
    <row r="886" spans="16:16" ht="12.75" customHeight="1" x14ac:dyDescent="0.15">
      <c r="P886" s="8"/>
    </row>
    <row r="887" spans="16:16" ht="12.75" customHeight="1" x14ac:dyDescent="0.15">
      <c r="P887" s="8"/>
    </row>
    <row r="888" spans="16:16" ht="12.75" customHeight="1" x14ac:dyDescent="0.15">
      <c r="P888" s="8"/>
    </row>
    <row r="889" spans="16:16" ht="12.75" customHeight="1" x14ac:dyDescent="0.15">
      <c r="P889" s="8"/>
    </row>
    <row r="890" spans="16:16" ht="12.75" customHeight="1" x14ac:dyDescent="0.15">
      <c r="P890" s="8"/>
    </row>
    <row r="891" spans="16:16" ht="12.75" customHeight="1" x14ac:dyDescent="0.15">
      <c r="P891" s="8"/>
    </row>
    <row r="892" spans="16:16" ht="12.75" customHeight="1" x14ac:dyDescent="0.15">
      <c r="P892" s="8"/>
    </row>
    <row r="893" spans="16:16" ht="12.75" customHeight="1" x14ac:dyDescent="0.15">
      <c r="P893" s="8"/>
    </row>
    <row r="894" spans="16:16" ht="12.75" customHeight="1" x14ac:dyDescent="0.15">
      <c r="P894" s="8"/>
    </row>
    <row r="895" spans="16:16" ht="12.75" customHeight="1" x14ac:dyDescent="0.15">
      <c r="P895" s="8"/>
    </row>
    <row r="896" spans="16:16" ht="12.75" customHeight="1" x14ac:dyDescent="0.15">
      <c r="P896" s="8"/>
    </row>
    <row r="897" spans="16:16" ht="12.75" customHeight="1" x14ac:dyDescent="0.15">
      <c r="P897" s="8"/>
    </row>
    <row r="898" spans="16:16" ht="12.75" customHeight="1" x14ac:dyDescent="0.15">
      <c r="P898" s="8"/>
    </row>
    <row r="899" spans="16:16" ht="12.75" customHeight="1" x14ac:dyDescent="0.15">
      <c r="P899" s="8"/>
    </row>
    <row r="900" spans="16:16" ht="12.75" customHeight="1" x14ac:dyDescent="0.15">
      <c r="P900" s="8"/>
    </row>
    <row r="901" spans="16:16" ht="12.75" customHeight="1" x14ac:dyDescent="0.15">
      <c r="P901" s="8"/>
    </row>
    <row r="902" spans="16:16" ht="12.75" customHeight="1" x14ac:dyDescent="0.15">
      <c r="P902" s="8"/>
    </row>
    <row r="903" spans="16:16" ht="12.75" customHeight="1" x14ac:dyDescent="0.15">
      <c r="P903" s="8"/>
    </row>
    <row r="904" spans="16:16" ht="12.75" customHeight="1" x14ac:dyDescent="0.15">
      <c r="P904" s="8"/>
    </row>
    <row r="905" spans="16:16" ht="12.75" customHeight="1" x14ac:dyDescent="0.15">
      <c r="P905" s="8"/>
    </row>
    <row r="906" spans="16:16" ht="12.75" customHeight="1" x14ac:dyDescent="0.15">
      <c r="P906" s="8"/>
    </row>
    <row r="907" spans="16:16" ht="12.75" customHeight="1" x14ac:dyDescent="0.15">
      <c r="P907" s="8"/>
    </row>
    <row r="908" spans="16:16" ht="12.75" customHeight="1" x14ac:dyDescent="0.15">
      <c r="P908" s="8"/>
    </row>
    <row r="909" spans="16:16" ht="12.75" customHeight="1" x14ac:dyDescent="0.15">
      <c r="P909" s="8"/>
    </row>
    <row r="910" spans="16:16" ht="12.75" customHeight="1" x14ac:dyDescent="0.15">
      <c r="P910" s="8"/>
    </row>
    <row r="911" spans="16:16" ht="12.75" customHeight="1" x14ac:dyDescent="0.15">
      <c r="P911" s="8"/>
    </row>
    <row r="912" spans="16:16" ht="12.75" customHeight="1" x14ac:dyDescent="0.15">
      <c r="P912" s="8"/>
    </row>
    <row r="913" spans="16:16" ht="12.75" customHeight="1" x14ac:dyDescent="0.15">
      <c r="P913" s="8"/>
    </row>
    <row r="914" spans="16:16" ht="12.75" customHeight="1" x14ac:dyDescent="0.15">
      <c r="P914" s="8"/>
    </row>
    <row r="915" spans="16:16" ht="12.75" customHeight="1" x14ac:dyDescent="0.15">
      <c r="P915" s="8"/>
    </row>
    <row r="916" spans="16:16" ht="12.75" customHeight="1" x14ac:dyDescent="0.15">
      <c r="P916" s="8"/>
    </row>
    <row r="917" spans="16:16" ht="12.75" customHeight="1" x14ac:dyDescent="0.15">
      <c r="P917" s="8"/>
    </row>
    <row r="918" spans="16:16" ht="12.75" customHeight="1" x14ac:dyDescent="0.15">
      <c r="P918" s="8"/>
    </row>
    <row r="919" spans="16:16" ht="12.75" customHeight="1" x14ac:dyDescent="0.15">
      <c r="P919" s="8"/>
    </row>
    <row r="920" spans="16:16" ht="12.75" customHeight="1" x14ac:dyDescent="0.15">
      <c r="P920" s="8"/>
    </row>
    <row r="921" spans="16:16" ht="12.75" customHeight="1" x14ac:dyDescent="0.15">
      <c r="P921" s="8"/>
    </row>
    <row r="922" spans="16:16" ht="12.75" customHeight="1" x14ac:dyDescent="0.15">
      <c r="P922" s="8"/>
    </row>
    <row r="923" spans="16:16" ht="12.75" customHeight="1" x14ac:dyDescent="0.15">
      <c r="P923" s="8"/>
    </row>
    <row r="924" spans="16:16" ht="12.75" customHeight="1" x14ac:dyDescent="0.15">
      <c r="P924" s="8"/>
    </row>
    <row r="925" spans="16:16" ht="12.75" customHeight="1" x14ac:dyDescent="0.15">
      <c r="P925" s="8"/>
    </row>
    <row r="926" spans="16:16" ht="12.75" customHeight="1" x14ac:dyDescent="0.15">
      <c r="P926" s="8"/>
    </row>
    <row r="927" spans="16:16" ht="12.75" customHeight="1" x14ac:dyDescent="0.15">
      <c r="P927" s="8"/>
    </row>
    <row r="928" spans="16:16" ht="12.75" customHeight="1" x14ac:dyDescent="0.15">
      <c r="P928" s="8"/>
    </row>
    <row r="929" spans="16:16" ht="12.75" customHeight="1" x14ac:dyDescent="0.15">
      <c r="P929" s="8"/>
    </row>
    <row r="930" spans="16:16" ht="12.75" customHeight="1" x14ac:dyDescent="0.15">
      <c r="P930" s="8"/>
    </row>
    <row r="931" spans="16:16" ht="12.75" customHeight="1" x14ac:dyDescent="0.15">
      <c r="P931" s="8"/>
    </row>
    <row r="932" spans="16:16" ht="12.75" customHeight="1" x14ac:dyDescent="0.15">
      <c r="P932" s="8"/>
    </row>
    <row r="933" spans="16:16" ht="12.75" customHeight="1" x14ac:dyDescent="0.15">
      <c r="P933" s="8"/>
    </row>
    <row r="934" spans="16:16" ht="12.75" customHeight="1" x14ac:dyDescent="0.15">
      <c r="P934" s="8"/>
    </row>
    <row r="935" spans="16:16" ht="12.75" customHeight="1" x14ac:dyDescent="0.15">
      <c r="P935" s="8"/>
    </row>
    <row r="936" spans="16:16" ht="12.75" customHeight="1" x14ac:dyDescent="0.15">
      <c r="P936" s="8"/>
    </row>
    <row r="937" spans="16:16" ht="12.75" customHeight="1" x14ac:dyDescent="0.15">
      <c r="P937" s="8"/>
    </row>
    <row r="938" spans="16:16" ht="12.75" customHeight="1" x14ac:dyDescent="0.15">
      <c r="P938" s="8"/>
    </row>
    <row r="939" spans="16:16" ht="12.75" customHeight="1" x14ac:dyDescent="0.15">
      <c r="P939" s="8"/>
    </row>
    <row r="940" spans="16:16" ht="12.75" customHeight="1" x14ac:dyDescent="0.15">
      <c r="P940" s="8"/>
    </row>
    <row r="941" spans="16:16" ht="12.75" customHeight="1" x14ac:dyDescent="0.15">
      <c r="P941" s="8"/>
    </row>
    <row r="942" spans="16:16" ht="12.75" customHeight="1" x14ac:dyDescent="0.15">
      <c r="P942" s="8"/>
    </row>
    <row r="943" spans="16:16" ht="12.75" customHeight="1" x14ac:dyDescent="0.15">
      <c r="P943" s="8"/>
    </row>
    <row r="944" spans="16:16" ht="12.75" customHeight="1" x14ac:dyDescent="0.15">
      <c r="P944" s="8"/>
    </row>
    <row r="945" spans="16:16" ht="12.75" customHeight="1" x14ac:dyDescent="0.15">
      <c r="P945" s="8"/>
    </row>
    <row r="946" spans="16:16" ht="12.75" customHeight="1" x14ac:dyDescent="0.15">
      <c r="P946" s="8"/>
    </row>
    <row r="947" spans="16:16" ht="12.75" customHeight="1" x14ac:dyDescent="0.15">
      <c r="P947" s="8"/>
    </row>
    <row r="948" spans="16:16" ht="12.75" customHeight="1" x14ac:dyDescent="0.15">
      <c r="P948" s="8"/>
    </row>
    <row r="949" spans="16:16" ht="12.75" customHeight="1" x14ac:dyDescent="0.15">
      <c r="P949" s="8"/>
    </row>
    <row r="950" spans="16:16" ht="12.75" customHeight="1" x14ac:dyDescent="0.15">
      <c r="P950" s="8"/>
    </row>
    <row r="951" spans="16:16" ht="12.75" customHeight="1" x14ac:dyDescent="0.15">
      <c r="P951" s="8"/>
    </row>
    <row r="952" spans="16:16" ht="12.75" customHeight="1" x14ac:dyDescent="0.15">
      <c r="P952" s="8"/>
    </row>
    <row r="953" spans="16:16" ht="12.75" customHeight="1" x14ac:dyDescent="0.15">
      <c r="P953" s="8"/>
    </row>
    <row r="954" spans="16:16" ht="12.75" customHeight="1" x14ac:dyDescent="0.15">
      <c r="P954" s="8"/>
    </row>
    <row r="955" spans="16:16" ht="12.75" customHeight="1" x14ac:dyDescent="0.15">
      <c r="P955" s="8"/>
    </row>
    <row r="956" spans="16:16" ht="12.75" customHeight="1" x14ac:dyDescent="0.15">
      <c r="P956" s="8"/>
    </row>
    <row r="957" spans="16:16" ht="12.75" customHeight="1" x14ac:dyDescent="0.15">
      <c r="P957" s="8"/>
    </row>
    <row r="958" spans="16:16" ht="12.75" customHeight="1" x14ac:dyDescent="0.15">
      <c r="P958" s="8"/>
    </row>
    <row r="959" spans="16:16" ht="12.75" customHeight="1" x14ac:dyDescent="0.15">
      <c r="P959" s="8"/>
    </row>
    <row r="960" spans="16:16" ht="12.75" customHeight="1" x14ac:dyDescent="0.15">
      <c r="P960" s="8"/>
    </row>
    <row r="961" spans="16:16" ht="12.75" customHeight="1" x14ac:dyDescent="0.15">
      <c r="P961" s="8"/>
    </row>
    <row r="962" spans="16:16" ht="12.75" customHeight="1" x14ac:dyDescent="0.15">
      <c r="P962" s="8"/>
    </row>
    <row r="963" spans="16:16" ht="12.75" customHeight="1" x14ac:dyDescent="0.15">
      <c r="P963" s="8"/>
    </row>
    <row r="964" spans="16:16" ht="12.75" customHeight="1" x14ac:dyDescent="0.15">
      <c r="P964" s="8"/>
    </row>
    <row r="965" spans="16:16" ht="12.75" customHeight="1" x14ac:dyDescent="0.15">
      <c r="P965" s="8"/>
    </row>
    <row r="966" spans="16:16" ht="12.75" customHeight="1" x14ac:dyDescent="0.15">
      <c r="P966" s="8"/>
    </row>
    <row r="967" spans="16:16" ht="12.75" customHeight="1" x14ac:dyDescent="0.15">
      <c r="P967" s="8"/>
    </row>
    <row r="968" spans="16:16" ht="12.75" customHeight="1" x14ac:dyDescent="0.15">
      <c r="P968" s="8"/>
    </row>
    <row r="969" spans="16:16" ht="12.75" customHeight="1" x14ac:dyDescent="0.15">
      <c r="P969" s="8"/>
    </row>
    <row r="970" spans="16:16" ht="12.75" customHeight="1" x14ac:dyDescent="0.15">
      <c r="P970" s="8"/>
    </row>
    <row r="971" spans="16:16" ht="12.75" customHeight="1" x14ac:dyDescent="0.15">
      <c r="P971" s="8"/>
    </row>
    <row r="972" spans="16:16" ht="12.75" customHeight="1" x14ac:dyDescent="0.15">
      <c r="P972" s="8"/>
    </row>
    <row r="973" spans="16:16" ht="12.75" customHeight="1" x14ac:dyDescent="0.15">
      <c r="P973" s="8"/>
    </row>
    <row r="974" spans="16:16" ht="12.75" customHeight="1" x14ac:dyDescent="0.15">
      <c r="P974" s="8"/>
    </row>
    <row r="975" spans="16:16" ht="12.75" customHeight="1" x14ac:dyDescent="0.15">
      <c r="P975" s="8"/>
    </row>
    <row r="976" spans="16:16" ht="12.75" customHeight="1" x14ac:dyDescent="0.15">
      <c r="P976" s="8"/>
    </row>
    <row r="977" spans="16:16" ht="12.75" customHeight="1" x14ac:dyDescent="0.15">
      <c r="P977" s="8"/>
    </row>
    <row r="978" spans="16:16" ht="12.75" customHeight="1" x14ac:dyDescent="0.15">
      <c r="P978" s="8"/>
    </row>
    <row r="979" spans="16:16" ht="12.75" customHeight="1" x14ac:dyDescent="0.15">
      <c r="P979" s="8"/>
    </row>
    <row r="980" spans="16:16" ht="12.75" customHeight="1" x14ac:dyDescent="0.15">
      <c r="P980" s="8"/>
    </row>
    <row r="981" spans="16:16" ht="12.75" customHeight="1" x14ac:dyDescent="0.15">
      <c r="P981" s="8"/>
    </row>
    <row r="982" spans="16:16" ht="12.75" customHeight="1" x14ac:dyDescent="0.15">
      <c r="P982" s="8"/>
    </row>
    <row r="983" spans="16:16" ht="12.75" customHeight="1" x14ac:dyDescent="0.15">
      <c r="P983" s="8"/>
    </row>
    <row r="984" spans="16:16" ht="12.75" customHeight="1" x14ac:dyDescent="0.15">
      <c r="P984" s="8"/>
    </row>
    <row r="985" spans="16:16" ht="12.75" customHeight="1" x14ac:dyDescent="0.15">
      <c r="P985" s="8"/>
    </row>
    <row r="986" spans="16:16" ht="12.75" customHeight="1" x14ac:dyDescent="0.15">
      <c r="P986" s="8"/>
    </row>
    <row r="987" spans="16:16" ht="12.75" customHeight="1" x14ac:dyDescent="0.15">
      <c r="P987" s="8"/>
    </row>
    <row r="988" spans="16:16" ht="12.75" customHeight="1" x14ac:dyDescent="0.15">
      <c r="P988" s="8"/>
    </row>
    <row r="989" spans="16:16" ht="12.75" customHeight="1" x14ac:dyDescent="0.15">
      <c r="P989" s="8"/>
    </row>
    <row r="990" spans="16:16" ht="12.75" customHeight="1" x14ac:dyDescent="0.15">
      <c r="P990" s="8"/>
    </row>
    <row r="991" spans="16:16" ht="12.75" customHeight="1" x14ac:dyDescent="0.15">
      <c r="P991" s="8"/>
    </row>
    <row r="992" spans="16:16" ht="12.75" customHeight="1" x14ac:dyDescent="0.15">
      <c r="P992" s="8"/>
    </row>
    <row r="993" spans="16:16" ht="12.75" customHeight="1" x14ac:dyDescent="0.15">
      <c r="P993" s="8"/>
    </row>
    <row r="994" spans="16:16" ht="12.75" customHeight="1" x14ac:dyDescent="0.15">
      <c r="P994" s="8"/>
    </row>
    <row r="995" spans="16:16" ht="12.75" customHeight="1" x14ac:dyDescent="0.15">
      <c r="P995" s="8"/>
    </row>
    <row r="996" spans="16:16" ht="12.75" customHeight="1" x14ac:dyDescent="0.15">
      <c r="P996" s="8"/>
    </row>
    <row r="997" spans="16:16" ht="12.75" customHeight="1" x14ac:dyDescent="0.15">
      <c r="P997" s="8"/>
    </row>
    <row r="998" spans="16:16" ht="12.75" customHeight="1" x14ac:dyDescent="0.15">
      <c r="P998" s="8"/>
    </row>
    <row r="999" spans="16:16" ht="12.75" customHeight="1" x14ac:dyDescent="0.15">
      <c r="P999" s="8"/>
    </row>
    <row r="1000" spans="16:16" ht="12.75" customHeight="1" x14ac:dyDescent="0.15">
      <c r="P1000" s="8"/>
    </row>
    <row r="1001" spans="16:16" ht="12.75" customHeight="1" x14ac:dyDescent="0.15">
      <c r="P1001" s="8"/>
    </row>
    <row r="1002" spans="16:16" ht="12.75" customHeight="1" x14ac:dyDescent="0.15">
      <c r="P1002" s="8"/>
    </row>
    <row r="1003" spans="16:16" ht="12.75" customHeight="1" x14ac:dyDescent="0.15">
      <c r="P1003" s="8"/>
    </row>
    <row r="1004" spans="16:16" ht="12.75" customHeight="1" x14ac:dyDescent="0.15">
      <c r="P1004" s="8"/>
    </row>
    <row r="1005" spans="16:16" ht="12.75" customHeight="1" x14ac:dyDescent="0.15">
      <c r="P1005" s="8"/>
    </row>
    <row r="1006" spans="16:16" ht="12.75" customHeight="1" x14ac:dyDescent="0.15">
      <c r="P1006" s="8"/>
    </row>
    <row r="1007" spans="16:16" ht="12.75" customHeight="1" x14ac:dyDescent="0.15">
      <c r="P1007" s="8"/>
    </row>
    <row r="1008" spans="16:16" ht="12.75" customHeight="1" x14ac:dyDescent="0.15">
      <c r="P1008" s="8"/>
    </row>
    <row r="1009" spans="16:16" ht="12.75" customHeight="1" x14ac:dyDescent="0.15">
      <c r="P1009" s="8"/>
    </row>
    <row r="1010" spans="16:16" ht="12.75" customHeight="1" x14ac:dyDescent="0.15">
      <c r="P1010" s="8"/>
    </row>
    <row r="1011" spans="16:16" ht="12.75" customHeight="1" x14ac:dyDescent="0.15">
      <c r="P1011" s="8"/>
    </row>
    <row r="1012" spans="16:16" ht="12.75" customHeight="1" x14ac:dyDescent="0.15">
      <c r="P1012" s="8"/>
    </row>
    <row r="1013" spans="16:16" ht="12.75" customHeight="1" x14ac:dyDescent="0.15">
      <c r="P1013" s="8"/>
    </row>
    <row r="1014" spans="16:16" ht="12.75" customHeight="1" x14ac:dyDescent="0.15">
      <c r="P1014" s="8"/>
    </row>
    <row r="1015" spans="16:16" ht="12.75" customHeight="1" x14ac:dyDescent="0.15">
      <c r="P1015" s="8"/>
    </row>
    <row r="1016" spans="16:16" ht="12.75" customHeight="1" x14ac:dyDescent="0.15">
      <c r="P1016" s="8"/>
    </row>
    <row r="1017" spans="16:16" ht="12.75" customHeight="1" x14ac:dyDescent="0.15">
      <c r="P1017" s="8"/>
    </row>
    <row r="1018" spans="16:16" ht="12.75" customHeight="1" x14ac:dyDescent="0.15">
      <c r="P1018" s="8"/>
    </row>
    <row r="1019" spans="16:16" ht="12.75" customHeight="1" x14ac:dyDescent="0.15">
      <c r="P1019" s="8"/>
    </row>
    <row r="1020" spans="16:16" ht="12.75" customHeight="1" x14ac:dyDescent="0.15">
      <c r="P1020" s="8"/>
    </row>
    <row r="1021" spans="16:16" ht="12.75" customHeight="1" x14ac:dyDescent="0.15">
      <c r="P1021" s="8"/>
    </row>
    <row r="1022" spans="16:16" ht="12.75" customHeight="1" x14ac:dyDescent="0.15">
      <c r="P1022" s="8"/>
    </row>
    <row r="1023" spans="16:16" ht="12.75" customHeight="1" x14ac:dyDescent="0.15">
      <c r="P1023" s="8"/>
    </row>
    <row r="1024" spans="16:16" ht="12.75" customHeight="1" x14ac:dyDescent="0.15">
      <c r="P1024" s="8"/>
    </row>
    <row r="1025" spans="16:16" ht="12.75" customHeight="1" x14ac:dyDescent="0.15">
      <c r="P1025" s="8"/>
    </row>
    <row r="1026" spans="16:16" ht="12.75" customHeight="1" x14ac:dyDescent="0.15">
      <c r="P1026" s="8"/>
    </row>
    <row r="1027" spans="16:16" ht="12.75" customHeight="1" x14ac:dyDescent="0.15">
      <c r="P1027" s="8"/>
    </row>
    <row r="1028" spans="16:16" ht="12.75" customHeight="1" x14ac:dyDescent="0.15">
      <c r="P1028" s="8"/>
    </row>
    <row r="1029" spans="16:16" ht="12.75" customHeight="1" x14ac:dyDescent="0.15">
      <c r="P1029" s="8"/>
    </row>
    <row r="1030" spans="16:16" ht="12.75" customHeight="1" x14ac:dyDescent="0.15">
      <c r="P1030" s="8"/>
    </row>
    <row r="1031" spans="16:16" ht="12.75" customHeight="1" x14ac:dyDescent="0.15">
      <c r="P1031" s="8"/>
    </row>
    <row r="1032" spans="16:16" ht="12.75" customHeight="1" x14ac:dyDescent="0.15">
      <c r="P1032" s="8"/>
    </row>
    <row r="1033" spans="16:16" ht="12.75" customHeight="1" x14ac:dyDescent="0.15">
      <c r="P1033" s="8"/>
    </row>
    <row r="1034" spans="16:16" ht="12.75" customHeight="1" x14ac:dyDescent="0.15">
      <c r="P1034" s="8"/>
    </row>
    <row r="1035" spans="16:16" ht="12.75" customHeight="1" x14ac:dyDescent="0.15">
      <c r="P1035" s="8"/>
    </row>
    <row r="1036" spans="16:16" ht="12.75" customHeight="1" x14ac:dyDescent="0.15">
      <c r="P1036" s="8"/>
    </row>
    <row r="1037" spans="16:16" ht="12.75" customHeight="1" x14ac:dyDescent="0.15">
      <c r="P1037" s="8"/>
    </row>
    <row r="1038" spans="16:16" ht="12.75" customHeight="1" x14ac:dyDescent="0.15">
      <c r="P1038" s="8"/>
    </row>
    <row r="1039" spans="16:16" ht="12.75" customHeight="1" x14ac:dyDescent="0.15">
      <c r="P1039" s="8"/>
    </row>
    <row r="1040" spans="16:16" ht="12.75" customHeight="1" x14ac:dyDescent="0.15">
      <c r="P1040" s="8"/>
    </row>
    <row r="1041" spans="16:16" ht="12.75" customHeight="1" x14ac:dyDescent="0.15">
      <c r="P1041" s="8"/>
    </row>
    <row r="1042" spans="16:16" ht="12.75" customHeight="1" x14ac:dyDescent="0.15">
      <c r="P1042" s="8"/>
    </row>
    <row r="1043" spans="16:16" ht="12.75" customHeight="1" x14ac:dyDescent="0.15">
      <c r="P1043" s="8"/>
    </row>
    <row r="1044" spans="16:16" ht="12.75" customHeight="1" x14ac:dyDescent="0.15">
      <c r="P1044" s="8"/>
    </row>
    <row r="1045" spans="16:16" ht="12.75" customHeight="1" x14ac:dyDescent="0.15">
      <c r="P1045" s="8"/>
    </row>
    <row r="1046" spans="16:16" ht="12.75" customHeight="1" x14ac:dyDescent="0.15">
      <c r="P1046" s="8"/>
    </row>
    <row r="1047" spans="16:16" ht="12.75" customHeight="1" x14ac:dyDescent="0.15">
      <c r="P1047" s="8"/>
    </row>
    <row r="1048" spans="16:16" ht="12.75" customHeight="1" x14ac:dyDescent="0.15">
      <c r="P1048" s="8"/>
    </row>
    <row r="1049" spans="16:16" ht="12.75" customHeight="1" x14ac:dyDescent="0.15">
      <c r="P1049" s="8"/>
    </row>
    <row r="1050" spans="16:16" ht="12.75" customHeight="1" x14ac:dyDescent="0.15">
      <c r="P1050" s="8"/>
    </row>
    <row r="1051" spans="16:16" ht="12.75" customHeight="1" x14ac:dyDescent="0.15">
      <c r="P1051" s="8"/>
    </row>
    <row r="1052" spans="16:16" ht="12.75" customHeight="1" x14ac:dyDescent="0.15">
      <c r="P1052" s="8"/>
    </row>
    <row r="1053" spans="16:16" ht="12.75" customHeight="1" x14ac:dyDescent="0.15">
      <c r="P1053" s="8"/>
    </row>
    <row r="1054" spans="16:16" ht="12.75" customHeight="1" x14ac:dyDescent="0.15">
      <c r="P1054" s="8"/>
    </row>
    <row r="1055" spans="16:16" ht="12.75" customHeight="1" x14ac:dyDescent="0.15">
      <c r="P1055" s="8"/>
    </row>
    <row r="1056" spans="16:16" ht="12.75" customHeight="1" x14ac:dyDescent="0.15">
      <c r="P1056" s="8"/>
    </row>
    <row r="1057" spans="16:16" ht="12.75" customHeight="1" x14ac:dyDescent="0.15">
      <c r="P1057" s="8"/>
    </row>
  </sheetData>
  <conditionalFormatting sqref="P1:P1057">
    <cfRule type="expression" dxfId="1" priority="1">
      <formula>NOT(ISERROR(SEARCH("TRUE",P1)))</formula>
    </cfRule>
    <cfRule type="expression" dxfId="0" priority="2">
      <formula>NOT(ISERROR(SEARCH("FALSE",P1)))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Priceless Penny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Hadhazi</dc:creator>
  <cp:lastModifiedBy>Siddharth Pachpor</cp:lastModifiedBy>
  <dcterms:created xsi:type="dcterms:W3CDTF">2023-12-08T08:27:43Z</dcterms:created>
  <dcterms:modified xsi:type="dcterms:W3CDTF">2026-09-20T22:21:15Z</dcterms:modified>
</cp:coreProperties>
</file>